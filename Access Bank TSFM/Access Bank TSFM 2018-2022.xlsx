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JOSHUA\Desktop\CAREER\Finance data projects\ACCESS BANK 3 STATEMENT MODEL\"/>
    </mc:Choice>
  </mc:AlternateContent>
  <xr:revisionPtr revIDLastSave="0" documentId="13_ncr:1_{1AB9B622-F251-45F1-A70F-E556460A22E8}" xr6:coauthVersionLast="47" xr6:coauthVersionMax="47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Income Statement" sheetId="1" r:id="rId1"/>
    <sheet name="Balance Sheet" sheetId="2" r:id="rId2"/>
    <sheet name="Cash Flow" sheetId="3" r:id="rId3"/>
    <sheet name="Detail1" sheetId="13" r:id="rId4"/>
    <sheet name="Sheet3" sheetId="8" r:id="rId5"/>
    <sheet name="Financial Ratios" sheetId="4" r:id="rId6"/>
    <sheet name="Dashboard" sheetId="6" r:id="rId7"/>
    <sheet name="Sheet2" sheetId="7" r:id="rId8"/>
    <sheet name="Assumptions &amp; Notes" sheetId="5" r:id="rId9"/>
  </sheets>
  <calcPr calcId="191029"/>
  <pivotCaches>
    <pivotCache cacheId="12" r:id="rId10"/>
    <pivotCache cacheId="1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 a="1"/>
  <c r="J3" i="6" s="1"/>
  <c r="B7" i="3"/>
  <c r="F25" i="4"/>
  <c r="E26" i="4"/>
  <c r="D26" i="4"/>
  <c r="C26" i="4"/>
  <c r="F26" i="4"/>
  <c r="E25" i="4"/>
  <c r="D25" i="4"/>
  <c r="C25" i="4"/>
  <c r="F24" i="4"/>
  <c r="E24" i="4"/>
  <c r="D24" i="4"/>
  <c r="C24" i="4"/>
  <c r="F21" i="4"/>
  <c r="E21" i="4"/>
  <c r="D21" i="4"/>
  <c r="C21" i="4"/>
  <c r="F20" i="4"/>
  <c r="F19" i="4"/>
  <c r="E19" i="4"/>
  <c r="E20" i="4"/>
  <c r="C20" i="4"/>
  <c r="D20" i="4"/>
  <c r="D19" i="4"/>
  <c r="F16" i="4"/>
  <c r="E16" i="4"/>
  <c r="D16" i="4"/>
  <c r="F15" i="4"/>
  <c r="E15" i="4"/>
  <c r="D15" i="4"/>
  <c r="C15" i="4"/>
  <c r="C16" i="4"/>
  <c r="F14" i="4"/>
  <c r="E14" i="4"/>
  <c r="D14" i="4"/>
  <c r="C14" i="4"/>
  <c r="C19" i="4"/>
  <c r="D9" i="4"/>
  <c r="C9" i="4"/>
  <c r="F33" i="4"/>
  <c r="E33" i="4"/>
  <c r="D33" i="4"/>
  <c r="C33" i="4"/>
  <c r="E9" i="4"/>
  <c r="F9" i="4"/>
  <c r="F8" i="4"/>
  <c r="E8" i="4"/>
  <c r="D8" i="4"/>
  <c r="F7" i="4"/>
  <c r="E7" i="4"/>
  <c r="D7" i="4"/>
  <c r="C8" i="4"/>
  <c r="C7" i="4"/>
  <c r="B26" i="4"/>
  <c r="B25" i="4"/>
  <c r="B15" i="4"/>
  <c r="B14" i="4"/>
  <c r="F32" i="3"/>
  <c r="E32" i="3"/>
  <c r="D32" i="3"/>
  <c r="C32" i="3"/>
  <c r="B32" i="3"/>
  <c r="F25" i="3"/>
  <c r="E25" i="3"/>
  <c r="D25" i="3"/>
  <c r="C25" i="3"/>
  <c r="B25" i="3"/>
  <c r="F17" i="3"/>
  <c r="E17" i="3"/>
  <c r="D17" i="3"/>
  <c r="C17" i="3"/>
  <c r="B17" i="3"/>
  <c r="E47" i="2"/>
  <c r="F45" i="2"/>
  <c r="E45" i="2"/>
  <c r="D45" i="2"/>
  <c r="C45" i="2"/>
  <c r="B45" i="2"/>
  <c r="B33" i="4" s="1"/>
  <c r="F36" i="2"/>
  <c r="F47" i="2" s="1"/>
  <c r="E36" i="2"/>
  <c r="D36" i="2"/>
  <c r="D47" i="2" s="1"/>
  <c r="C36" i="2"/>
  <c r="C47" i="2" s="1"/>
  <c r="B36" i="2"/>
  <c r="B47" i="2" s="1"/>
  <c r="F23" i="2"/>
  <c r="E23" i="2"/>
  <c r="E49" i="2" s="1"/>
  <c r="D23" i="2"/>
  <c r="C23" i="2"/>
  <c r="B23" i="2"/>
  <c r="B20" i="4" s="1"/>
  <c r="F31" i="1"/>
  <c r="F10" i="4" s="1"/>
  <c r="E31" i="1"/>
  <c r="D31" i="1"/>
  <c r="C31" i="1"/>
  <c r="B31" i="1"/>
  <c r="B10" i="4" s="1"/>
  <c r="F16" i="1"/>
  <c r="E16" i="1"/>
  <c r="D16" i="1"/>
  <c r="C16" i="1"/>
  <c r="B16" i="1"/>
  <c r="F12" i="1"/>
  <c r="F24" i="1" s="1"/>
  <c r="F33" i="1" s="1"/>
  <c r="B12" i="1"/>
  <c r="B24" i="1" s="1"/>
  <c r="B33" i="1" s="1"/>
  <c r="F9" i="1"/>
  <c r="E9" i="1"/>
  <c r="D9" i="1"/>
  <c r="C9" i="1"/>
  <c r="D28" i="4" s="1"/>
  <c r="B9" i="1"/>
  <c r="B9" i="4" s="1"/>
  <c r="B11" i="4" l="1"/>
  <c r="B10" i="3"/>
  <c r="B27" i="3" s="1"/>
  <c r="B30" i="3" s="1"/>
  <c r="B33" i="3" s="1"/>
  <c r="B36" i="1"/>
  <c r="C10" i="4"/>
  <c r="F49" i="2"/>
  <c r="F11" i="4"/>
  <c r="F7" i="3"/>
  <c r="F10" i="3" s="1"/>
  <c r="F27" i="3" s="1"/>
  <c r="F30" i="3" s="1"/>
  <c r="F33" i="3" s="1"/>
  <c r="F36" i="1"/>
  <c r="C49" i="2"/>
  <c r="D49" i="2"/>
  <c r="C12" i="1"/>
  <c r="C24" i="1" s="1"/>
  <c r="C33" i="1" s="1"/>
  <c r="B21" i="4"/>
  <c r="E28" i="4"/>
  <c r="D12" i="1"/>
  <c r="D24" i="1" s="1"/>
  <c r="D33" i="1" s="1"/>
  <c r="B49" i="2"/>
  <c r="B16" i="4"/>
  <c r="B24" i="4"/>
  <c r="B28" i="4"/>
  <c r="F28" i="4"/>
  <c r="E12" i="1"/>
  <c r="E24" i="1" s="1"/>
  <c r="E33" i="1" s="1"/>
  <c r="B19" i="4"/>
  <c r="C28" i="4"/>
  <c r="B8" i="4" l="1"/>
  <c r="B32" i="4"/>
  <c r="B7" i="4"/>
  <c r="D36" i="1"/>
  <c r="D11" i="4"/>
  <c r="D7" i="3"/>
  <c r="D10" i="3" s="1"/>
  <c r="D27" i="3" s="1"/>
  <c r="D30" i="3" s="1"/>
  <c r="D33" i="3" s="1"/>
  <c r="F32" i="4"/>
  <c r="E11" i="4"/>
  <c r="E7" i="3"/>
  <c r="E10" i="3" s="1"/>
  <c r="E27" i="3" s="1"/>
  <c r="E30" i="3" s="1"/>
  <c r="E33" i="3" s="1"/>
  <c r="E36" i="1"/>
  <c r="E10" i="4"/>
  <c r="C11" i="4"/>
  <c r="C7" i="3"/>
  <c r="C10" i="3" s="1"/>
  <c r="C27" i="3" s="1"/>
  <c r="C30" i="3" s="1"/>
  <c r="C33" i="3" s="1"/>
  <c r="C36" i="1"/>
  <c r="D10" i="4"/>
  <c r="E32" i="4" l="1"/>
  <c r="D32" i="4"/>
  <c r="C32" i="4"/>
  <c r="E27" i="4"/>
  <c r="D27" i="4"/>
  <c r="C27" i="4"/>
  <c r="F27" i="4"/>
  <c r="B2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<sst xmlns="http://schemas.openxmlformats.org/spreadsheetml/2006/main" count="194" uniqueCount="163">
  <si>
    <t>ACCESS BANK PLC</t>
  </si>
  <si>
    <t>Consolidated Income Statement (NGN Millions)</t>
  </si>
  <si>
    <t>For the year ended 31 December</t>
  </si>
  <si>
    <t>2018</t>
  </si>
  <si>
    <t>2019</t>
  </si>
  <si>
    <t>2020</t>
  </si>
  <si>
    <t>2021</t>
  </si>
  <si>
    <t>2022</t>
  </si>
  <si>
    <t>Interest Income (Effective Interest Rate)</t>
  </si>
  <si>
    <t>Interest Income (FVTPL)</t>
  </si>
  <si>
    <t>Interest Expense</t>
  </si>
  <si>
    <t>Net Interest Income</t>
  </si>
  <si>
    <t>Net Impairment Charge</t>
  </si>
  <si>
    <t>Net Interest Income After Impairment</t>
  </si>
  <si>
    <t>Fee and Commission Income</t>
  </si>
  <si>
    <t>Fee and Commission Expense</t>
  </si>
  <si>
    <t>Net Fee and Commission Income</t>
  </si>
  <si>
    <t>Net Gains on Financial Instruments</t>
  </si>
  <si>
    <t>Net Foreign Exchange Gain/(Loss)</t>
  </si>
  <si>
    <t>Net Gain/(Loss) on Fair Value Hedge</t>
  </si>
  <si>
    <t>Other Operating Income</t>
  </si>
  <si>
    <t>Bargain Purchase / Other Income</t>
  </si>
  <si>
    <t>Total Operating Income</t>
  </si>
  <si>
    <t>Personnel Expenses</t>
  </si>
  <si>
    <t>Depreciation</t>
  </si>
  <si>
    <t>Amortization and Impairment</t>
  </si>
  <si>
    <t>Other Operating Expenses</t>
  </si>
  <si>
    <t>Total Operating Expenses</t>
  </si>
  <si>
    <t>Profit Before Tax</t>
  </si>
  <si>
    <t>Income Tax Expense</t>
  </si>
  <si>
    <t>Profit for the Year</t>
  </si>
  <si>
    <t>Consolidated Balance Sheet (NGN Millions)</t>
  </si>
  <si>
    <t>As at 31 December</t>
  </si>
  <si>
    <t>ASSETS</t>
  </si>
  <si>
    <t>Cash and Balances with Banks</t>
  </si>
  <si>
    <t>Investment Under Management</t>
  </si>
  <si>
    <t>Non Pledged Trading Assets</t>
  </si>
  <si>
    <t>Derivative Financial Assets</t>
  </si>
  <si>
    <t>Loans and Advances to Banks</t>
  </si>
  <si>
    <t>Loans and Advances to Customers</t>
  </si>
  <si>
    <t>Pledged Assets</t>
  </si>
  <si>
    <t>Investment Securities</t>
  </si>
  <si>
    <t>Investment Properties</t>
  </si>
  <si>
    <t>Restricted Deposits and Other Assets</t>
  </si>
  <si>
    <t>Investment in Associates</t>
  </si>
  <si>
    <t>Property and Equipment</t>
  </si>
  <si>
    <t>Intangible Assets</t>
  </si>
  <si>
    <t>Deferred Tax Assets</t>
  </si>
  <si>
    <t>Assets Held for Sale</t>
  </si>
  <si>
    <t>Total Assets</t>
  </si>
  <si>
    <t>LIABILITIES</t>
  </si>
  <si>
    <t>Deposits from Financial Institutions</t>
  </si>
  <si>
    <t>Deposits from Customers</t>
  </si>
  <si>
    <t>Derivative Financial Liabilities</t>
  </si>
  <si>
    <t>Current Tax Liabilities</t>
  </si>
  <si>
    <t>Other Liabilities</t>
  </si>
  <si>
    <t>Deferred Tax Liabilities</t>
  </si>
  <si>
    <t>Debt Securities Issued</t>
  </si>
  <si>
    <t>Interest-Bearing Borrowings</t>
  </si>
  <si>
    <t>Retirement Benefit Obligation</t>
  </si>
  <si>
    <t>Total Liabilities</t>
  </si>
  <si>
    <t>EQUITY</t>
  </si>
  <si>
    <t>Share Capital and Premium</t>
  </si>
  <si>
    <t>Additional Tier 1 Capital</t>
  </si>
  <si>
    <t>Retained Earnings</t>
  </si>
  <si>
    <t>Other Reserves</t>
  </si>
  <si>
    <t>Non-Controlling Interest</t>
  </si>
  <si>
    <t>Total Equity</t>
  </si>
  <si>
    <t>Total Liabilities and Equity</t>
  </si>
  <si>
    <t>Check (should be zero)</t>
  </si>
  <si>
    <t>Consolidated Cash Flow Statement (NGN Millions)</t>
  </si>
  <si>
    <t>OPERATING ACTIVITIES</t>
  </si>
  <si>
    <t>Adjustments for Non-Cash Items</t>
  </si>
  <si>
    <t>Changes in Working Capital</t>
  </si>
  <si>
    <t>Net Cash from Operating Activities</t>
  </si>
  <si>
    <t>INVESTING ACTIVITIES</t>
  </si>
  <si>
    <t>Purchase of Investment Securities</t>
  </si>
  <si>
    <t>Proceeds from Investment Securities</t>
  </si>
  <si>
    <t>Capital Expenditure</t>
  </si>
  <si>
    <t>Other Investing Activities</t>
  </si>
  <si>
    <t>Net Cash from Investing Activities</t>
  </si>
  <si>
    <t>FINANCING ACTIVITIES</t>
  </si>
  <si>
    <t>Proceeds from Borrowings</t>
  </si>
  <si>
    <t>Repayment of Borrowings</t>
  </si>
  <si>
    <t>AT1 Capital Issued (net)</t>
  </si>
  <si>
    <t>Dividends Paid</t>
  </si>
  <si>
    <t>Other Financing Activities</t>
  </si>
  <si>
    <t>Net Cash from Financing Activities</t>
  </si>
  <si>
    <t>Net Increase/(Decrease) in Cash</t>
  </si>
  <si>
    <t>Cash at Beginning of Period</t>
  </si>
  <si>
    <t>Effect of Exchange Rate Changes</t>
  </si>
  <si>
    <t>Cash at End of Period</t>
  </si>
  <si>
    <t>Check: Cash per Balance Sheet</t>
  </si>
  <si>
    <t>Difference (should be zero)</t>
  </si>
  <si>
    <t>Financial Ratios and Metrics</t>
  </si>
  <si>
    <t>Ratio / Metric</t>
  </si>
  <si>
    <t>PROFITABILITY RATIOS</t>
  </si>
  <si>
    <t>Return on Assets (ROA)</t>
  </si>
  <si>
    <t>Return on Equity (ROE)</t>
  </si>
  <si>
    <t>Net Interest Margin (NIM)</t>
  </si>
  <si>
    <t>Cost-to-Income Ratio</t>
  </si>
  <si>
    <t>Tax Rate</t>
  </si>
  <si>
    <t>ASSET QUALITY RATIOS</t>
  </si>
  <si>
    <t>Impairment Charge to Loans</t>
  </si>
  <si>
    <t>Loans to Deposits Ratio</t>
  </si>
  <si>
    <t>Loans to Total Assets</t>
  </si>
  <si>
    <t>CAPITAL RATIOS</t>
  </si>
  <si>
    <t>Equity to Assets</t>
  </si>
  <si>
    <t>Deposits to Assets</t>
  </si>
  <si>
    <t>Debt to Equity</t>
  </si>
  <si>
    <t>GROWTH METRICS (YoY)</t>
  </si>
  <si>
    <t>Asset Growth</t>
  </si>
  <si>
    <t>Loan Growth</t>
  </si>
  <si>
    <t>Deposit Growth</t>
  </si>
  <si>
    <t>Profit Growth</t>
  </si>
  <si>
    <t>NII Growth</t>
  </si>
  <si>
    <t>PER SHARE METRICS</t>
  </si>
  <si>
    <t>Shares Outstanding (millions)</t>
  </si>
  <si>
    <t>Earnings Per Share (Kobo)</t>
  </si>
  <si>
    <t>Book Value Per Share (Kobo)</t>
  </si>
  <si>
    <t>Assumptions &amp; Notes</t>
  </si>
  <si>
    <t>DATA SOURCE:</t>
  </si>
  <si>
    <t>All financial data extracted from Access Bank PLC Annual Reports (2018-2022)</t>
  </si>
  <si>
    <t>Source documents: Audited consolidated financial statements</t>
  </si>
  <si>
    <t>CURRENCY:</t>
  </si>
  <si>
    <t>All amounts in Nigerian Naira (NGN) Millions</t>
  </si>
  <si>
    <t>COLOR CODING:</t>
  </si>
  <si>
    <t>Blue text = Input values (hardcoded from financial statements)</t>
  </si>
  <si>
    <t>Black text = Calculated values (formulas)</t>
  </si>
  <si>
    <t>Green text = Links to other sheets</t>
  </si>
  <si>
    <t>REPORTING STANDARDS:</t>
  </si>
  <si>
    <t>Financial statements prepared under International Financial Reporting Standards (IFRS)</t>
  </si>
  <si>
    <t>MODEL STRUCTURE:</t>
  </si>
  <si>
    <t>• Income Statement: Full P&amp;L with all calculations linked</t>
  </si>
  <si>
    <t>• Balance Sheet: Complete statement with balance check</t>
  </si>
  <si>
    <t>• Cash Flow: Direct method with reconciliation to balance sheet</t>
  </si>
  <si>
    <t>• Financial Ratios: All ratios calculated from statement sheets</t>
  </si>
  <si>
    <t>KEY NOTES:</t>
  </si>
  <si>
    <t>1. All totals and subtotals are calculated using formulas</t>
  </si>
  <si>
    <t>2. Financial ratios dynamically update when inputs change</t>
  </si>
  <si>
    <t>3. Additional Tier 1 Capital issued in 2021 (NGN 206,355 million)</t>
  </si>
  <si>
    <t>4. Balance sheet includes check formula (should equal zero)</t>
  </si>
  <si>
    <t>5. Cash flow reconciles to balance sheet cash balance</t>
  </si>
  <si>
    <t>INTERACTIVE FEATURES:</t>
  </si>
  <si>
    <t>• Change any blue input value to see impact across all statements</t>
  </si>
  <si>
    <t>• All ratios automatically recalculate</t>
  </si>
  <si>
    <t>• Error checks flag inconsistencies</t>
  </si>
  <si>
    <t>For questions or model updates, refer to source financial statements.</t>
  </si>
  <si>
    <t>Row Labels</t>
  </si>
  <si>
    <t>Grand Total</t>
  </si>
  <si>
    <t>Sum of 2018</t>
  </si>
  <si>
    <t>Sum of 2019</t>
  </si>
  <si>
    <t>Sum of 2020</t>
  </si>
  <si>
    <t>Sum of 2021</t>
  </si>
  <si>
    <t>Sum of 2022</t>
  </si>
  <si>
    <t>Column Labels</t>
  </si>
  <si>
    <t>Values</t>
  </si>
  <si>
    <t>2018%</t>
  </si>
  <si>
    <t>2019%</t>
  </si>
  <si>
    <t>2020%</t>
  </si>
  <si>
    <t>2021%</t>
  </si>
  <si>
    <t>2022%</t>
  </si>
  <si>
    <t>Details for Sum of 2018 - For the year ended 31 December: 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</si>
</sst>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7" formatCode="[$₦-470]#,##0.00"/>
  </numFmts>
  <fonts count="18" x14ac:knownFonts="1">
    <font>
      <sz val="11"/>
      <color theme="1"/>
      <name val="Calibri"/>
      <family val="2"/>
      <scheme val="minor"/>
    </font>
    <font>
      <b/>
      <sz val="16"/>
      <color rgb="FF366092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8000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28A1A"/>
      <name val="Arial"/>
      <family val="2"/>
    </font>
    <font>
      <sz val="10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A500"/>
        <bgColor rgb="FF366092"/>
      </patternFill>
    </fill>
    <fill>
      <patternFill patternType="solid">
        <fgColor rgb="FFF28A1A"/>
        <bgColor rgb="FF366092"/>
      </patternFill>
    </fill>
    <fill>
      <patternFill patternType="solid">
        <fgColor rgb="FFF28A1A"/>
        <bgColor rgb="FFB4C7E7"/>
      </patternFill>
    </fill>
    <fill>
      <patternFill patternType="solid">
        <fgColor rgb="FFF28A1A"/>
        <bgColor rgb="FFD9E1F2"/>
      </patternFill>
    </fill>
    <fill>
      <patternFill patternType="solid">
        <fgColor rgb="FFFFA500"/>
        <bgColor rgb="FFD9E1F2"/>
      </patternFill>
    </fill>
    <fill>
      <patternFill patternType="solid">
        <fgColor rgb="FFFFA500"/>
        <bgColor rgb="FFB4C7E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7" fillId="0" borderId="0" xfId="0" applyFont="1"/>
    <xf numFmtId="165" fontId="6" fillId="0" borderId="0" xfId="0" applyNumberFormat="1" applyFont="1"/>
    <xf numFmtId="0" fontId="9" fillId="0" borderId="0" xfId="0" applyFont="1"/>
    <xf numFmtId="10" fontId="6" fillId="0" borderId="0" xfId="0" applyNumberFormat="1" applyFont="1"/>
    <xf numFmtId="3" fontId="4" fillId="0" borderId="0" xfId="0" applyNumberFormat="1" applyFont="1"/>
    <xf numFmtId="2" fontId="6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4" fillId="0" borderId="0" xfId="0" applyFont="1"/>
    <xf numFmtId="0" fontId="0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6" fillId="0" borderId="0" xfId="0" applyFont="1"/>
    <xf numFmtId="0" fontId="15" fillId="4" borderId="0" xfId="0" applyFont="1" applyFill="1"/>
    <xf numFmtId="164" fontId="15" fillId="4" borderId="0" xfId="0" applyNumberFormat="1" applyFont="1" applyFill="1"/>
    <xf numFmtId="0" fontId="15" fillId="5" borderId="0" xfId="0" applyFont="1" applyFill="1"/>
    <xf numFmtId="0" fontId="5" fillId="5" borderId="0" xfId="0" applyFont="1" applyFill="1"/>
    <xf numFmtId="0" fontId="5" fillId="6" borderId="0" xfId="0" applyFont="1" applyFill="1"/>
    <xf numFmtId="164" fontId="17" fillId="0" borderId="0" xfId="0" applyNumberFormat="1" applyFont="1"/>
    <xf numFmtId="0" fontId="5" fillId="7" borderId="0" xfId="0" applyFont="1" applyFill="1"/>
    <xf numFmtId="164" fontId="5" fillId="7" borderId="0" xfId="0" applyNumberFormat="1" applyFont="1" applyFill="1"/>
    <xf numFmtId="0" fontId="4" fillId="7" borderId="0" xfId="0" applyFont="1" applyFill="1"/>
    <xf numFmtId="0" fontId="15" fillId="7" borderId="0" xfId="0" applyFont="1" applyFill="1"/>
    <xf numFmtId="164" fontId="15" fillId="7" borderId="0" xfId="0" applyNumberFormat="1" applyFont="1" applyFill="1"/>
    <xf numFmtId="0" fontId="15" fillId="6" borderId="0" xfId="0" applyFont="1" applyFill="1"/>
    <xf numFmtId="0" fontId="7" fillId="7" borderId="0" xfId="0" applyFont="1" applyFill="1"/>
    <xf numFmtId="0" fontId="16" fillId="8" borderId="0" xfId="0" applyFont="1" applyFill="1"/>
    <xf numFmtId="0" fontId="0" fillId="9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0" borderId="0" xfId="0" applyFont="1"/>
    <xf numFmtId="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8">
    <dxf>
      <numFmt numFmtId="167" formatCode="[$₦-470]#,##0.00"/>
    </dxf>
    <dxf>
      <numFmt numFmtId="167" formatCode="[$₦-470]#,##0.00"/>
    </dxf>
    <dxf>
      <numFmt numFmtId="167" formatCode="[$₦-470]#,##0.00"/>
    </dxf>
    <dxf>
      <numFmt numFmtId="167" formatCode="[$₦-470]#,##0.00"/>
    </dxf>
    <dxf>
      <numFmt numFmtId="167" formatCode="[$₦-470]#,##0.00"/>
    </dxf>
    <dxf>
      <numFmt numFmtId="3" formatCode="#,##0"/>
    </dxf>
    <dxf>
      <numFmt numFmtId="2" formatCode="0.00"/>
    </dxf>
    <dxf>
      <numFmt numFmtId="13" formatCode="0%"/>
    </dxf>
  </dxfs>
  <tableStyles count="0" defaultTableStyle="TableStyleMedium9" defaultPivotStyle="PivotStyleLight16"/>
  <colors>
    <mruColors>
      <color rgb="FFF28A1A"/>
      <color rgb="FFFFA500"/>
      <color rgb="FFFFD5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Detail1!$A$4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Detail1!$B$3:$F$3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Detail1!$B$4:$F$4</c:f>
              <c:numCache>
                <c:formatCode>[$₦-470]#,##0.00</c:formatCode>
                <c:ptCount val="5"/>
                <c:pt idx="0">
                  <c:v>189627</c:v>
                </c:pt>
                <c:pt idx="1">
                  <c:v>253770</c:v>
                </c:pt>
                <c:pt idx="2">
                  <c:v>326508</c:v>
                </c:pt>
                <c:pt idx="3">
                  <c:v>370939</c:v>
                </c:pt>
                <c:pt idx="4">
                  <c:v>494606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D-40B6-83C9-5F701BA1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919119"/>
        <c:axId val="489935439"/>
      </c:barChart>
      <c:catAx>
        <c:axId val="48991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489935439"/>
        <c:crosses val="autoZero"/>
        <c:auto val="1"/>
        <c:lblAlgn val="ctr"/>
        <c:lblOffset val="100"/>
        <c:noMultiLvlLbl val="0"/>
      </c:catAx>
      <c:valAx>
        <c:axId val="489935439"/>
        <c:scaling>
          <c:orientation val="minMax"/>
        </c:scaling>
        <c:delete val="0"/>
        <c:axPos val="l"/>
        <c:numFmt formatCode="[$₦-470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48991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bg1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r>
              <a:rPr lang="en-US"/>
              <a:t>Return on Assets</a:t>
            </a:r>
          </a:p>
        </c:rich>
      </c:tx>
      <c:layout>
        <c:manualLayout>
          <c:xMode val="edge"/>
          <c:yMode val="edge"/>
          <c:x val="0.2970033093689376"/>
          <c:y val="2.9449387732773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1"/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'Financial Ratios'!$B$4:$F$4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'Financial Ratios'!$B$5:$F$5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F7B9-49CA-8B39-94B1B69891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'Financial Ratios'!$B$4:$F$4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'Financial Ratios'!$B$6:$F$6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F7B9-49CA-8B39-94B1B698918C}"/>
            </c:ext>
          </c:extLst>
        </c:ser>
        <c:ser>
          <c:idx val="2"/>
          <c:order val="2"/>
          <c:spPr>
            <a:solidFill>
              <a:srgbClr val="F28A1A"/>
            </a:solidFill>
            <a:ln>
              <a:noFill/>
            </a:ln>
            <a:effectLst/>
          </c:spPr>
          <c:cat>
            <c:strRef>
              <c:f>'Financial Ratios'!$B$4:$F$4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'Financial Ratios'!$B$7:$F$7</c:f>
              <c:numCache>
                <c:formatCode>0.0%</c:formatCode>
                <c:ptCount val="5"/>
                <c:pt idx="0">
                  <c:v>2.0047002951258913E-2</c:v>
                </c:pt>
                <c:pt idx="1">
                  <c:v>1.3644229411674988E-2</c:v>
                </c:pt>
                <c:pt idx="2">
                  <c:v>1.2213604843551315E-2</c:v>
                </c:pt>
                <c:pt idx="3">
                  <c:v>1.3638123397220892E-2</c:v>
                </c:pt>
                <c:pt idx="4">
                  <c:v>1.0403004640099266E-2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9-49CA-8B39-94B1B6989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706159"/>
        <c:axId val="1150703279"/>
      </c:areaChart>
      <c:catAx>
        <c:axId val="115070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1150703279"/>
        <c:crosses val="autoZero"/>
        <c:auto val="1"/>
        <c:lblAlgn val="ctr"/>
        <c:lblOffset val="100"/>
        <c:noMultiLvlLbl val="0"/>
      </c:catAx>
      <c:valAx>
        <c:axId val="115070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115070615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Comic Sans MS" panose="030F0702030302020204" pitchFamily="66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[Access Bank TSFM 2018-2022.xlsx]Sheet2!PivotTable4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to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28A1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Sheet2!$Q$8:$Q$9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rgbClr val="F28A1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Sheet2!$P$10:$P$14</c:f>
              <c:strCache>
                <c:ptCount val="5"/>
                <c:pt idx="0">
                  <c:v>2018%</c:v>
                </c:pt>
                <c:pt idx="1">
                  <c:v>2019%</c:v>
                </c:pt>
                <c:pt idx="2">
                  <c:v>2020%</c:v>
                </c:pt>
                <c:pt idx="3">
                  <c:v>2021%</c:v>
                </c:pt>
                <c:pt idx="4">
                  <c:v>2022%</c:v>
                </c:pt>
              </c:strCache>
            </c:strRef>
          </c:cat>
          <c:val>
            <c:numRef>
              <c:f>Sheet2!$Q$10:$Q$14</c:f>
              <c:numCache>
                <c:formatCode>0%</c:formatCode>
                <c:ptCount val="5"/>
                <c:pt idx="0">
                  <c:v>1.3040822650618129</c:v>
                </c:pt>
                <c:pt idx="1">
                  <c:v>1.2101602027034715</c:v>
                </c:pt>
                <c:pt idx="2">
                  <c:v>1.2668324803074322</c:v>
                </c:pt>
                <c:pt idx="3">
                  <c:v>1.3374622260808651</c:v>
                </c:pt>
                <c:pt idx="4">
                  <c:v>1.3796474177412663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7-4FB9-B52A-F5C96C0E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976383"/>
        <c:axId val="1230976863"/>
      </c:lineChart>
      <c:catAx>
        <c:axId val="123097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76863"/>
        <c:crosses val="autoZero"/>
        <c:auto val="1"/>
        <c:lblAlgn val="ctr"/>
        <c:lblOffset val="100"/>
        <c:noMultiLvlLbl val="0"/>
      </c:catAx>
      <c:valAx>
        <c:axId val="12309768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7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Detail1!$A$4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rgbClr val="F28A1A"/>
            </a:solidFill>
            <a:ln>
              <a:noFill/>
            </a:ln>
            <a:effectLst/>
          </c:spPr>
          <c:invertIfNegative val="0"/>
          <c:cat>
            <c:strRef>
              <c:f>Detail1!$B$3:$F$3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Detail1!$B$4:$F$4</c:f>
              <c:numCache>
                <c:formatCode>[$₦-470]#,##0.00</c:formatCode>
                <c:ptCount val="5"/>
                <c:pt idx="0">
                  <c:v>189627</c:v>
                </c:pt>
                <c:pt idx="1">
                  <c:v>253770</c:v>
                </c:pt>
                <c:pt idx="2">
                  <c:v>326508</c:v>
                </c:pt>
                <c:pt idx="3">
                  <c:v>370939</c:v>
                </c:pt>
                <c:pt idx="4">
                  <c:v>494606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4-43DD-99FD-CDC491CC4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919119"/>
        <c:axId val="489935439"/>
      </c:barChart>
      <c:catAx>
        <c:axId val="48991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35439"/>
        <c:crosses val="autoZero"/>
        <c:auto val="1"/>
        <c:lblAlgn val="ctr"/>
        <c:lblOffset val="100"/>
        <c:noMultiLvlLbl val="0"/>
      </c:catAx>
      <c:valAx>
        <c:axId val="489935439"/>
        <c:scaling>
          <c:orientation val="minMax"/>
        </c:scaling>
        <c:delete val="0"/>
        <c:axPos val="l"/>
        <c:numFmt formatCode="[$₦-470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1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[Access Bank TSFM 2018-2022.xlsx]Sheet2!PivotTable4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omic Sans MS" panose="030F0702030302020204" pitchFamily="66" charset="0"/>
              </a:rPr>
              <a:t>Debt to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Sheet2!$Q$8:$Q$9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Sheet2!$P$10:$P$14</c:f>
              <c:strCache>
                <c:ptCount val="5"/>
                <c:pt idx="0">
                  <c:v>2018%</c:v>
                </c:pt>
                <c:pt idx="1">
                  <c:v>2019%</c:v>
                </c:pt>
                <c:pt idx="2">
                  <c:v>2020%</c:v>
                </c:pt>
                <c:pt idx="3">
                  <c:v>2021%</c:v>
                </c:pt>
                <c:pt idx="4">
                  <c:v>2022%</c:v>
                </c:pt>
              </c:strCache>
            </c:strRef>
          </c:cat>
          <c:val>
            <c:numRef>
              <c:f>Sheet2!$Q$10:$Q$14</c:f>
              <c:numCache>
                <c:formatCode>0%</c:formatCode>
                <c:ptCount val="5"/>
                <c:pt idx="0">
                  <c:v>1.3040822650618129</c:v>
                </c:pt>
                <c:pt idx="1">
                  <c:v>1.2101602027034715</c:v>
                </c:pt>
                <c:pt idx="2">
                  <c:v>1.2668324803074322</c:v>
                </c:pt>
                <c:pt idx="3">
                  <c:v>1.3374622260808651</c:v>
                </c:pt>
                <c:pt idx="4">
                  <c:v>1.3796474177412663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C-4B69-8493-3983546E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976383"/>
        <c:axId val="1230976863"/>
      </c:lineChart>
      <c:catAx>
        <c:axId val="123097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1230976863"/>
        <c:crosses val="autoZero"/>
        <c:auto val="1"/>
        <c:lblAlgn val="ctr"/>
        <c:lblOffset val="100"/>
        <c:noMultiLvlLbl val="0"/>
      </c:catAx>
      <c:valAx>
        <c:axId val="12309768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123097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</xdr:row>
      <xdr:rowOff>28575</xdr:rowOff>
    </xdr:from>
    <xdr:to>
      <xdr:col>10</xdr:col>
      <xdr:colOff>85725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AEA602-D1D0-320E-6D3D-ABF1892E1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</xdr:row>
      <xdr:rowOff>1</xdr:rowOff>
    </xdr:from>
    <xdr:to>
      <xdr:col>5</xdr:col>
      <xdr:colOff>571500</xdr:colOff>
      <xdr:row>12</xdr:row>
      <xdr:rowOff>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D0C1F75-A1E8-2A69-70EE-7911C4FC56D8}"/>
            </a:ext>
          </a:extLst>
        </xdr:cNvPr>
        <xdr:cNvSpPr/>
      </xdr:nvSpPr>
      <xdr:spPr>
        <a:xfrm>
          <a:off x="142875" y="571501"/>
          <a:ext cx="3476625" cy="171450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247650</xdr:colOff>
      <xdr:row>3</xdr:row>
      <xdr:rowOff>1</xdr:rowOff>
    </xdr:from>
    <xdr:to>
      <xdr:col>5</xdr:col>
      <xdr:colOff>533400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8F86F1-308B-4503-9FED-125962F45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3</xdr:row>
      <xdr:rowOff>142874</xdr:rowOff>
    </xdr:from>
    <xdr:to>
      <xdr:col>9</xdr:col>
      <xdr:colOff>428625</xdr:colOff>
      <xdr:row>7</xdr:row>
      <xdr:rowOff>190499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67F7569-D7BA-6C2D-B7C3-810B13408761}"/>
            </a:ext>
          </a:extLst>
        </xdr:cNvPr>
        <xdr:cNvSpPr/>
      </xdr:nvSpPr>
      <xdr:spPr>
        <a:xfrm>
          <a:off x="3829050" y="714374"/>
          <a:ext cx="2085975" cy="80962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latin typeface="Comic Sans MS" panose="030F0702030302020204" pitchFamily="66" charset="0"/>
            </a:rPr>
            <a:t>Highest</a:t>
          </a:r>
          <a:r>
            <a:rPr lang="en-US" sz="1100" baseline="0">
              <a:latin typeface="Comic Sans MS" panose="030F0702030302020204" pitchFamily="66" charset="0"/>
            </a:rPr>
            <a:t> EBT</a:t>
          </a:r>
        </a:p>
      </xdr:txBody>
    </xdr:sp>
    <xdr:clientData/>
  </xdr:twoCellAnchor>
  <xdr:twoCellAnchor>
    <xdr:from>
      <xdr:col>9</xdr:col>
      <xdr:colOff>571500</xdr:colOff>
      <xdr:row>3</xdr:row>
      <xdr:rowOff>161926</xdr:rowOff>
    </xdr:from>
    <xdr:to>
      <xdr:col>16</xdr:col>
      <xdr:colOff>47625</xdr:colOff>
      <xdr:row>13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9E34854-15F4-469F-8DA9-EF807F39C9A1}"/>
            </a:ext>
          </a:extLst>
        </xdr:cNvPr>
        <xdr:cNvSpPr/>
      </xdr:nvSpPr>
      <xdr:spPr>
        <a:xfrm>
          <a:off x="6057900" y="733426"/>
          <a:ext cx="3743325" cy="1800224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171450</xdr:colOff>
      <xdr:row>9</xdr:row>
      <xdr:rowOff>0</xdr:rowOff>
    </xdr:from>
    <xdr:to>
      <xdr:col>9</xdr:col>
      <xdr:colOff>428625</xdr:colOff>
      <xdr:row>13</xdr:row>
      <xdr:rowOff>75558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D8DCF71-3FA2-4BC8-BC7A-FC7880DCA712}"/>
            </a:ext>
          </a:extLst>
        </xdr:cNvPr>
        <xdr:cNvSpPr/>
      </xdr:nvSpPr>
      <xdr:spPr>
        <a:xfrm>
          <a:off x="3829050" y="1714500"/>
          <a:ext cx="2085975" cy="837558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13</xdr:row>
      <xdr:rowOff>0</xdr:rowOff>
    </xdr:from>
    <xdr:to>
      <xdr:col>5</xdr:col>
      <xdr:colOff>552450</xdr:colOff>
      <xdr:row>22</xdr:row>
      <xdr:rowOff>104775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CFDFF72-8DC9-49BC-B807-04ADBF557DEB}"/>
            </a:ext>
          </a:extLst>
        </xdr:cNvPr>
        <xdr:cNvSpPr/>
      </xdr:nvSpPr>
      <xdr:spPr>
        <a:xfrm>
          <a:off x="152400" y="2476500"/>
          <a:ext cx="3448050" cy="181927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14</xdr:row>
      <xdr:rowOff>19050</xdr:rowOff>
    </xdr:from>
    <xdr:to>
      <xdr:col>10</xdr:col>
      <xdr:colOff>371476</xdr:colOff>
      <xdr:row>22</xdr:row>
      <xdr:rowOff>95249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23722A9-55B6-48A5-8910-C213CCA2F30D}"/>
            </a:ext>
          </a:extLst>
        </xdr:cNvPr>
        <xdr:cNvSpPr/>
      </xdr:nvSpPr>
      <xdr:spPr>
        <a:xfrm>
          <a:off x="3686176" y="2686050"/>
          <a:ext cx="2781300" cy="1600199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571500</xdr:colOff>
      <xdr:row>14</xdr:row>
      <xdr:rowOff>38100</xdr:rowOff>
    </xdr:from>
    <xdr:to>
      <xdr:col>16</xdr:col>
      <xdr:colOff>142875</xdr:colOff>
      <xdr:row>22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4A730E6-8EE3-4011-964E-C0DFA19F25D6}"/>
            </a:ext>
          </a:extLst>
        </xdr:cNvPr>
        <xdr:cNvSpPr/>
      </xdr:nvSpPr>
      <xdr:spPr>
        <a:xfrm>
          <a:off x="6667500" y="2705100"/>
          <a:ext cx="3228975" cy="162877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314325</xdr:colOff>
      <xdr:row>0</xdr:row>
      <xdr:rowOff>123825</xdr:rowOff>
    </xdr:from>
    <xdr:to>
      <xdr:col>20</xdr:col>
      <xdr:colOff>266700</xdr:colOff>
      <xdr:row>22</xdr:row>
      <xdr:rowOff>142874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34BF169-BED2-4770-93C7-2CD938B3D7CB}"/>
            </a:ext>
          </a:extLst>
        </xdr:cNvPr>
        <xdr:cNvSpPr/>
      </xdr:nvSpPr>
      <xdr:spPr>
        <a:xfrm>
          <a:off x="10067925" y="123825"/>
          <a:ext cx="2390775" cy="4210049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142875</xdr:colOff>
      <xdr:row>0</xdr:row>
      <xdr:rowOff>124042</xdr:rowOff>
    </xdr:from>
    <xdr:to>
      <xdr:col>3</xdr:col>
      <xdr:colOff>0</xdr:colOff>
      <xdr:row>2</xdr:row>
      <xdr:rowOff>162101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8CD24C-9ABD-F2BA-25F3-5CAA14C9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24042"/>
          <a:ext cx="1685925" cy="419059"/>
        </a:xfrm>
        <a:prstGeom prst="rect">
          <a:avLst/>
        </a:prstGeom>
      </xdr:spPr>
    </xdr:pic>
    <xdr:clientData/>
  </xdr:twoCellAnchor>
  <xdr:twoCellAnchor>
    <xdr:from>
      <xdr:col>10</xdr:col>
      <xdr:colOff>85726</xdr:colOff>
      <xdr:row>4</xdr:row>
      <xdr:rowOff>66675</xdr:rowOff>
    </xdr:from>
    <xdr:to>
      <xdr:col>15</xdr:col>
      <xdr:colOff>542926</xdr:colOff>
      <xdr:row>12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278205D-A3A5-4042-92BC-BB3B4B6B1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13</xdr:row>
      <xdr:rowOff>75558</xdr:rowOff>
    </xdr:from>
    <xdr:to>
      <xdr:col>5</xdr:col>
      <xdr:colOff>438150</xdr:colOff>
      <xdr:row>22</xdr:row>
      <xdr:rowOff>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EE36730-2265-4B7E-8F94-692B427F6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4</xdr:row>
      <xdr:rowOff>28575</xdr:rowOff>
    </xdr:from>
    <xdr:to>
      <xdr:col>17</xdr:col>
      <xdr:colOff>466725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139C1-A1A6-AEF2-0723-FD3D16539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DERA" refreshedDate="46067.602232523146" createdVersion="8" refreshedVersion="8" minRefreshableVersion="3" recordCount="29" xr:uid="{709D3E8A-A129-45E2-B4A7-56D47F7DCF82}">
  <cacheSource type="worksheet">
    <worksheetSource ref="A4:F33" sheet="Financial Ratios"/>
  </cacheSource>
  <cacheFields count="6">
    <cacheField name="Ratio / Metric" numFmtId="0">
      <sharedItems containsBlank="1" count="25">
        <m/>
        <s v="PROFITABILITY RATIOS"/>
        <s v="Return on Assets (ROA)"/>
        <s v="Return on Equity (ROE)"/>
        <s v="Net Interest Margin (NIM)"/>
        <s v="Cost-to-Income Ratio"/>
        <s v="Tax Rate"/>
        <s v="ASSET QUALITY RATIOS"/>
        <s v="Impairment Charge to Loans"/>
        <s v="Loans to Deposits Ratio"/>
        <s v="Loans to Total Assets"/>
        <s v="CAPITAL RATIOS"/>
        <s v="Equity to Assets"/>
        <s v="Deposits to Assets"/>
        <s v="Debt to Equity"/>
        <s v="GROWTH METRICS (YoY)"/>
        <s v="Asset Growth"/>
        <s v="Loan Growth"/>
        <s v="Deposit Growth"/>
        <s v="Profit Growth"/>
        <s v="NII Growth"/>
        <s v="PER SHARE METRICS"/>
        <s v="Shares Outstanding (millions)"/>
        <s v="Earnings Per Share (Kobo)"/>
        <s v="Book Value Per Share (Kobo)"/>
      </sharedItems>
    </cacheField>
    <cacheField name="2018" numFmtId="0">
      <sharedItems containsString="0" containsBlank="1" containsNumber="1" minValue="-1.8184381167183534E-2" maxValue="32354" count="20">
        <m/>
        <n v="2.0047002951258913E-2"/>
        <n v="0.20247414946015591"/>
        <n v="3.503683875985359E-2"/>
        <n v="0.6381524482584553"/>
        <n v="7.6327855435581224E-2"/>
        <n v="7.3520043579323093E-3"/>
        <n v="0.77726218640200739"/>
        <n v="0.40241074313954928"/>
        <n v="9.9010184780175522E-2"/>
        <n v="0.51772844502101967"/>
        <n v="1.3040822650618129"/>
        <n v="0.44254834879072263"/>
        <n v="0.46045908770338773"/>
        <n v="0.65925522474880194"/>
        <n v="-1.8184381167183534E-2"/>
        <n v="0.5971436472364009"/>
        <n v="32354"/>
        <n v="3069.6668109043703"/>
        <n v="15160.783828892872"/>
      </sharedItems>
    </cacheField>
    <cacheField name="2019" numFmtId="0">
      <sharedItems containsString="0" containsBlank="1" containsNumber="1" minValue="0" maxValue="35545" count="16">
        <m/>
        <n v="1.3644229411674988E-2"/>
        <n v="0.15847991899662431"/>
        <n v="3.8791673423948778E-2"/>
        <n v="0.68744599064334455"/>
        <n v="0.154872203780584"/>
        <n v="6.9340358156052724E-3"/>
        <n v="0.68413804382075727"/>
        <n v="0.40740709127725017"/>
        <n v="8.6094373962707638E-2"/>
        <n v="0.5955042187128976"/>
        <n v="1.2101602027034715"/>
        <n v="0"/>
        <n v="35545"/>
        <n v="2743.2831621887749"/>
        <n v="17309.973273315518"/>
      </sharedItems>
    </cacheField>
    <cacheField name="2020" numFmtId="0">
      <sharedItems containsString="0" containsBlank="1" containsNumber="1" minValue="-0.23831777039054533" maxValue="35545" count="20">
        <m/>
        <n v="1.2213604843551315E-2"/>
        <n v="0.13980437331279566"/>
        <n v="3.0294661814451503E-2"/>
        <n v="0.72167468630575715"/>
        <n v="0.15812838004177157"/>
        <n v="1.9543476957105527E-2"/>
        <n v="0.575956014030094"/>
        <n v="0.37076046110560595"/>
        <n v="8.7362108596022447E-2"/>
        <n v="0.64373051426498951"/>
        <n v="1.2668324803074322"/>
        <n v="-0.17663371985381601"/>
        <n v="-9.5250717269500365E-2"/>
        <n v="-0.23831777039054533"/>
        <n v="-8.0189791625397369E-2"/>
        <n v="5.4303099448564367E-2"/>
        <n v="35545"/>
        <n v="2982.4447882965255"/>
        <n v="21332.986355324239"/>
      </sharedItems>
    </cacheField>
    <cacheField name="2021" numFmtId="0">
      <sharedItems containsString="0" containsBlank="1" containsNumber="1" minValue="-0.39084284765230309" maxValue="35545" count="20">
        <m/>
        <n v="1.3638123397220892E-2"/>
        <n v="0.1490481531301584"/>
        <n v="2.5691175715988265E-2"/>
        <n v="0.67760574031923948"/>
        <n v="9.3406313212871198E-2"/>
        <n v="1.9996808738673186E-2"/>
        <n v="0.59834184229169185"/>
        <n v="0.35470303954171023"/>
        <n v="9.1501458493827889E-2"/>
        <n v="0.59281002007677142"/>
        <n v="1.3374622260808651"/>
        <n v="-0.39084284765230309"/>
        <n v="-0.30033037244518862"/>
        <n v="-0.38807435468919643"/>
        <n v="-0.39057011787352658"/>
        <n v="-8.0220166684361396E-2"/>
        <n v="35545"/>
        <n v="4501.3926009284005"/>
        <n v="30200.928400618934"/>
      </sharedItems>
    </cacheField>
    <cacheField name="2022" numFmtId="0">
      <sharedItems containsString="0" containsBlank="1" containsNumber="1" minValue="-0.53997108278913586" maxValue="35545" count="20">
        <m/>
        <n v="1.0403004640099266E-2"/>
        <n v="0.1269525980710593"/>
        <n v="2.3967979821949974E-2"/>
        <n v="0.74388923313861499"/>
        <n v="8.5321165568514143E-2"/>
        <n v="3.8776217175047006E-2"/>
        <n v="0.55136480112175257"/>
        <n v="0.34068272301887437"/>
        <n v="8.1944007433990315E-2"/>
        <n v="0.61788986588508155"/>
        <n v="1.3796474177412663"/>
        <n v="-0.52267809861525028"/>
        <n v="-0.42919228271134352"/>
        <n v="-0.53997108278913586"/>
        <n v="-0.37396072086647791"/>
        <n v="-0.22746449829458057"/>
        <n v="35545"/>
        <n v="4381.9665213110138"/>
        <n v="34516.5564777043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DERA" refreshedDate="46067.628712962964" createdVersion="8" refreshedVersion="8" minRefreshableVersion="3" recordCount="27" xr:uid="{9EA84D5A-0D77-42BF-96BC-4F18BCE28EA0}">
  <cacheSource type="worksheet">
    <worksheetSource ref="A4:F31" sheet="Income Statement"/>
  </cacheSource>
  <cacheFields count="6">
    <cacheField name="For the year ended 31 December" numFmtId="0">
      <sharedItems containsBlank="1" count="21">
        <m/>
        <s v="Interest Income (Effective Interest Rate)"/>
        <s v="Interest Income (FVTPL)"/>
        <s v="Interest Expense"/>
        <s v="Net Interest Income"/>
        <s v="Net Impairment Charge"/>
        <s v="Net Interest Income After Impairment"/>
        <s v="Fee and Commission Income"/>
        <s v="Fee and Commission Expense"/>
        <s v="Net Fee and Commission Income"/>
        <s v="Net Gains on Financial Instruments"/>
        <s v="Net Foreign Exchange Gain/(Loss)"/>
        <s v="Net Gain/(Loss) on Fair Value Hedge"/>
        <s v="Other Operating Income"/>
        <s v="Bargain Purchase / Other Income"/>
        <s v="Total Operating Income"/>
        <s v="Personnel Expenses"/>
        <s v="Depreciation"/>
        <s v="Amortization and Impairment"/>
        <s v="Other Operating Expenses"/>
        <s v="Total Operating Expenses"/>
      </sharedItems>
    </cacheField>
    <cacheField name="2018" numFmtId="0">
      <sharedItems containsString="0" containsBlank="1" containsNumber="1" containsInteger="1" minValue="-207337" maxValue="360308"/>
    </cacheField>
    <cacheField name="2019" numFmtId="0">
      <sharedItems containsString="0" containsBlank="1" containsNumber="1" containsInteger="1" minValue="-259618" maxValue="453550"/>
    </cacheField>
    <cacheField name="2020" numFmtId="0">
      <sharedItems containsString="0" containsBlank="1" containsNumber="1" containsInteger="1" minValue="-326508" maxValue="452431"/>
    </cacheField>
    <cacheField name="2021" numFmtId="0">
      <sharedItems containsString="0" containsBlank="1" containsNumber="1" containsInteger="1" minValue="-370939" maxValue="547426"/>
    </cacheField>
    <cacheField name="2022" numFmtId="0">
      <sharedItems containsString="0" containsBlank="1" containsNumber="1" containsInteger="1" minValue="-494606" maxValue="7690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  <x v="0"/>
    <x v="0"/>
  </r>
  <r>
    <x v="1"/>
    <x v="0"/>
    <x v="0"/>
    <x v="0"/>
    <x v="0"/>
    <x v="0"/>
  </r>
  <r>
    <x v="2"/>
    <x v="1"/>
    <x v="1"/>
    <x v="1"/>
    <x v="1"/>
    <x v="1"/>
  </r>
  <r>
    <x v="3"/>
    <x v="2"/>
    <x v="2"/>
    <x v="2"/>
    <x v="2"/>
    <x v="2"/>
  </r>
  <r>
    <x v="4"/>
    <x v="3"/>
    <x v="3"/>
    <x v="3"/>
    <x v="3"/>
    <x v="3"/>
  </r>
  <r>
    <x v="5"/>
    <x v="4"/>
    <x v="4"/>
    <x v="4"/>
    <x v="4"/>
    <x v="4"/>
  </r>
  <r>
    <x v="6"/>
    <x v="5"/>
    <x v="5"/>
    <x v="5"/>
    <x v="5"/>
    <x v="5"/>
  </r>
  <r>
    <x v="0"/>
    <x v="0"/>
    <x v="0"/>
    <x v="0"/>
    <x v="0"/>
    <x v="0"/>
  </r>
  <r>
    <x v="7"/>
    <x v="0"/>
    <x v="0"/>
    <x v="0"/>
    <x v="0"/>
    <x v="0"/>
  </r>
  <r>
    <x v="8"/>
    <x v="6"/>
    <x v="6"/>
    <x v="6"/>
    <x v="6"/>
    <x v="6"/>
  </r>
  <r>
    <x v="9"/>
    <x v="7"/>
    <x v="7"/>
    <x v="7"/>
    <x v="7"/>
    <x v="7"/>
  </r>
  <r>
    <x v="10"/>
    <x v="8"/>
    <x v="8"/>
    <x v="8"/>
    <x v="8"/>
    <x v="8"/>
  </r>
  <r>
    <x v="0"/>
    <x v="0"/>
    <x v="0"/>
    <x v="0"/>
    <x v="0"/>
    <x v="0"/>
  </r>
  <r>
    <x v="11"/>
    <x v="0"/>
    <x v="0"/>
    <x v="0"/>
    <x v="0"/>
    <x v="0"/>
  </r>
  <r>
    <x v="12"/>
    <x v="9"/>
    <x v="9"/>
    <x v="9"/>
    <x v="9"/>
    <x v="9"/>
  </r>
  <r>
    <x v="13"/>
    <x v="10"/>
    <x v="10"/>
    <x v="10"/>
    <x v="10"/>
    <x v="10"/>
  </r>
  <r>
    <x v="14"/>
    <x v="11"/>
    <x v="11"/>
    <x v="11"/>
    <x v="11"/>
    <x v="11"/>
  </r>
  <r>
    <x v="0"/>
    <x v="0"/>
    <x v="0"/>
    <x v="0"/>
    <x v="0"/>
    <x v="0"/>
  </r>
  <r>
    <x v="15"/>
    <x v="0"/>
    <x v="0"/>
    <x v="0"/>
    <x v="0"/>
    <x v="0"/>
  </r>
  <r>
    <x v="16"/>
    <x v="12"/>
    <x v="12"/>
    <x v="12"/>
    <x v="12"/>
    <x v="12"/>
  </r>
  <r>
    <x v="17"/>
    <x v="13"/>
    <x v="12"/>
    <x v="13"/>
    <x v="13"/>
    <x v="13"/>
  </r>
  <r>
    <x v="18"/>
    <x v="14"/>
    <x v="12"/>
    <x v="14"/>
    <x v="14"/>
    <x v="14"/>
  </r>
  <r>
    <x v="19"/>
    <x v="15"/>
    <x v="12"/>
    <x v="15"/>
    <x v="15"/>
    <x v="15"/>
  </r>
  <r>
    <x v="20"/>
    <x v="16"/>
    <x v="12"/>
    <x v="16"/>
    <x v="16"/>
    <x v="16"/>
  </r>
  <r>
    <x v="0"/>
    <x v="0"/>
    <x v="0"/>
    <x v="0"/>
    <x v="0"/>
    <x v="0"/>
  </r>
  <r>
    <x v="21"/>
    <x v="0"/>
    <x v="0"/>
    <x v="0"/>
    <x v="0"/>
    <x v="0"/>
  </r>
  <r>
    <x v="22"/>
    <x v="17"/>
    <x v="13"/>
    <x v="17"/>
    <x v="17"/>
    <x v="17"/>
  </r>
  <r>
    <x v="23"/>
    <x v="18"/>
    <x v="14"/>
    <x v="18"/>
    <x v="18"/>
    <x v="18"/>
  </r>
  <r>
    <x v="24"/>
    <x v="19"/>
    <x v="15"/>
    <x v="19"/>
    <x v="19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m/>
    <m/>
    <m/>
    <m/>
    <m/>
  </r>
  <r>
    <x v="1"/>
    <n v="360308"/>
    <n v="453550"/>
    <n v="425666"/>
    <n v="519417"/>
    <n v="769079"/>
  </r>
  <r>
    <x v="2"/>
    <n v="20607"/>
    <n v="83297"/>
    <n v="63551"/>
    <n v="82234"/>
    <n v="57506"/>
  </r>
  <r>
    <x v="3"/>
    <n v="-207337"/>
    <n v="-259618"/>
    <n v="-226267"/>
    <n v="-300243"/>
    <n v="-467729"/>
  </r>
  <r>
    <x v="4"/>
    <n v="173578"/>
    <n v="277229"/>
    <n v="262950"/>
    <n v="301408"/>
    <n v="358856"/>
  </r>
  <r>
    <x v="0"/>
    <m/>
    <m/>
    <m/>
    <m/>
    <m/>
  </r>
  <r>
    <x v="5"/>
    <n v="-14657"/>
    <n v="-20189"/>
    <n v="-62893"/>
    <n v="-83214"/>
    <n v="-197790"/>
  </r>
  <r>
    <x v="6"/>
    <n v="158921"/>
    <n v="257040"/>
    <n v="200057"/>
    <n v="218194"/>
    <n v="161066"/>
  </r>
  <r>
    <x v="0"/>
    <m/>
    <m/>
    <m/>
    <m/>
    <m/>
  </r>
  <r>
    <x v="7"/>
    <n v="62096"/>
    <n v="91845"/>
    <n v="116700"/>
    <n v="158917"/>
    <n v="195470"/>
  </r>
  <r>
    <x v="8"/>
    <n v="-9601"/>
    <n v="-17798"/>
    <n v="-23127"/>
    <n v="-40589"/>
    <n v="-51850"/>
  </r>
  <r>
    <x v="9"/>
    <n v="52495"/>
    <n v="74047"/>
    <n v="93573"/>
    <n v="118328"/>
    <n v="143620"/>
  </r>
  <r>
    <x v="0"/>
    <m/>
    <m/>
    <m/>
    <m/>
    <m/>
  </r>
  <r>
    <x v="10"/>
    <n v="96324"/>
    <n v="66102"/>
    <n v="122690"/>
    <n v="44780"/>
    <n v="281304"/>
  </r>
  <r>
    <x v="11"/>
    <n v="-23769"/>
    <n v="-83876"/>
    <n v="-7568"/>
    <n v="101101"/>
    <n v="34500"/>
  </r>
  <r>
    <x v="12"/>
    <n v="0"/>
    <n v="0"/>
    <n v="-795"/>
    <n v="-872"/>
    <n v="19742"/>
  </r>
  <r>
    <x v="13"/>
    <n v="13179"/>
    <n v="55836"/>
    <n v="44474"/>
    <n v="63411"/>
    <n v="24660"/>
  </r>
  <r>
    <x v="14"/>
    <n v="0"/>
    <n v="0"/>
    <n v="0"/>
    <n v="2484"/>
    <n v="0"/>
  </r>
  <r>
    <x v="0"/>
    <m/>
    <m/>
    <m/>
    <m/>
    <m/>
  </r>
  <r>
    <x v="15"/>
    <n v="297150"/>
    <n v="369149"/>
    <n v="452431"/>
    <n v="547426"/>
    <n v="664892"/>
  </r>
  <r>
    <x v="0"/>
    <m/>
    <m/>
    <m/>
    <m/>
    <m/>
  </r>
  <r>
    <x v="16"/>
    <n v="-57144"/>
    <n v="-76964"/>
    <n v="-73173"/>
    <n v="-96613"/>
    <n v="-114763"/>
  </r>
  <r>
    <x v="17"/>
    <n v="-13535"/>
    <n v="-21233"/>
    <n v="-27615"/>
    <n v="-29139"/>
    <n v="-30298"/>
  </r>
  <r>
    <x v="18"/>
    <n v="-2799"/>
    <n v="-4475"/>
    <n v="-9913"/>
    <n v="-12974"/>
    <n v="-13825"/>
  </r>
  <r>
    <x v="19"/>
    <n v="-116149"/>
    <n v="-151098"/>
    <n v="-215807"/>
    <n v="-232213"/>
    <n v="-335720"/>
  </r>
  <r>
    <x v="0"/>
    <m/>
    <m/>
    <m/>
    <m/>
    <m/>
  </r>
  <r>
    <x v="20"/>
    <n v="-189627"/>
    <n v="-253770"/>
    <n v="-326508"/>
    <n v="-370939"/>
    <n v="-4946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43B77-6308-4A9D-AB86-BAAB7A9CC29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W17:AB19" firstHeaderRow="0" firstDataRow="1" firstDataCol="1"/>
  <pivotFields count="6">
    <pivotField axis="axisRow" showAll="0">
      <items count="22">
        <item h="1" x="18"/>
        <item h="1" x="14"/>
        <item h="1" x="17"/>
        <item h="1" x="8"/>
        <item h="1" x="7"/>
        <item h="1" x="3"/>
        <item h="1" x="1"/>
        <item h="1" x="2"/>
        <item h="1" x="9"/>
        <item h="1" x="11"/>
        <item h="1" x="12"/>
        <item h="1" x="10"/>
        <item h="1" x="5"/>
        <item h="1" x="4"/>
        <item h="1" x="6"/>
        <item h="1" x="19"/>
        <item h="1" x="13"/>
        <item h="1" x="16"/>
        <item x="20"/>
        <item h="1" x="15"/>
        <item h="1"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18" fld="1" baseField="0" baseItem="0"/>
    <dataField name="Sum of 2019" fld="2" baseField="0" baseItem="0"/>
    <dataField name="Sum of 2020" fld="3" baseField="0" baseItem="0"/>
    <dataField name="Sum of 2021" fld="4" baseField="0" baseItem="0"/>
    <dataField name="Sum of 202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E0C35-0AE3-4C11-ADB5-D9A4CAA3CA2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0" firstHeaderRow="1" firstDataRow="1" firstDataCol="0"/>
  <pivotFields count="6">
    <pivotField showAll="0">
      <items count="26">
        <item x="16"/>
        <item x="7"/>
        <item x="24"/>
        <item x="11"/>
        <item x="5"/>
        <item x="14"/>
        <item x="18"/>
        <item x="13"/>
        <item x="23"/>
        <item x="12"/>
        <item x="15"/>
        <item x="8"/>
        <item x="17"/>
        <item x="9"/>
        <item x="10"/>
        <item x="4"/>
        <item x="20"/>
        <item x="21"/>
        <item x="19"/>
        <item x="1"/>
        <item x="2"/>
        <item x="3"/>
        <item x="22"/>
        <item x="6"/>
        <item x="0"/>
        <item t="default"/>
      </items>
    </pivotField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601F8-3D4A-45CD-9FF4-EBB1EDA77F81}" name="PivotTable4" cacheId="1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8:R14" firstHeaderRow="1" firstDataRow="2" firstDataCol="1"/>
  <pivotFields count="6">
    <pivotField axis="axisCol" showAll="0">
      <items count="26">
        <item h="1" x="16"/>
        <item h="1" x="7"/>
        <item h="1" x="24"/>
        <item h="1" x="11"/>
        <item h="1" x="5"/>
        <item x="14"/>
        <item h="1" x="18"/>
        <item h="1" x="13"/>
        <item h="1" x="23"/>
        <item h="1" x="12"/>
        <item h="1" x="15"/>
        <item h="1" x="8"/>
        <item h="1" x="17"/>
        <item h="1" x="9"/>
        <item h="1" x="10"/>
        <item h="1" x="4"/>
        <item h="1" x="20"/>
        <item h="1" x="21"/>
        <item h="1" x="19"/>
        <item h="1" x="1"/>
        <item h="1" x="2"/>
        <item h="1" x="3"/>
        <item h="1" x="22"/>
        <item h="1" x="6"/>
        <item h="1" x="0"/>
        <item t="default"/>
      </items>
    </pivotField>
    <pivotField dataField="1" showAll="0">
      <items count="21">
        <item x="15"/>
        <item x="6"/>
        <item x="1"/>
        <item x="3"/>
        <item x="5"/>
        <item x="9"/>
        <item x="2"/>
        <item x="8"/>
        <item x="12"/>
        <item x="13"/>
        <item x="10"/>
        <item x="16"/>
        <item x="4"/>
        <item x="14"/>
        <item x="7"/>
        <item x="11"/>
        <item x="18"/>
        <item x="19"/>
        <item x="17"/>
        <item x="0"/>
        <item t="default"/>
      </items>
    </pivotField>
    <pivotField dataField="1" showAll="0">
      <items count="17">
        <item x="12"/>
        <item x="6"/>
        <item x="1"/>
        <item x="3"/>
        <item x="9"/>
        <item x="5"/>
        <item x="2"/>
        <item x="8"/>
        <item x="10"/>
        <item x="7"/>
        <item x="4"/>
        <item x="11"/>
        <item x="14"/>
        <item x="15"/>
        <item x="13"/>
        <item x="0"/>
        <item t="default"/>
      </items>
    </pivotField>
    <pivotField dataField="1" showAll="0">
      <items count="21">
        <item x="14"/>
        <item x="12"/>
        <item x="13"/>
        <item x="15"/>
        <item x="1"/>
        <item x="6"/>
        <item x="3"/>
        <item x="16"/>
        <item x="9"/>
        <item x="2"/>
        <item x="5"/>
        <item x="8"/>
        <item x="7"/>
        <item x="10"/>
        <item x="4"/>
        <item x="11"/>
        <item x="18"/>
        <item x="19"/>
        <item x="17"/>
        <item x="0"/>
        <item t="default"/>
      </items>
    </pivotField>
    <pivotField dataField="1" showAll="0">
      <items count="21">
        <item x="12"/>
        <item x="15"/>
        <item x="14"/>
        <item x="13"/>
        <item x="16"/>
        <item x="1"/>
        <item x="6"/>
        <item x="3"/>
        <item x="9"/>
        <item x="5"/>
        <item x="2"/>
        <item x="8"/>
        <item x="10"/>
        <item x="7"/>
        <item x="4"/>
        <item x="11"/>
        <item x="18"/>
        <item x="19"/>
        <item x="17"/>
        <item x="0"/>
        <item t="default"/>
      </items>
    </pivotField>
    <pivotField dataField="1" showAll="0">
      <items count="21">
        <item x="14"/>
        <item x="12"/>
        <item x="13"/>
        <item x="15"/>
        <item x="16"/>
        <item x="1"/>
        <item x="3"/>
        <item x="6"/>
        <item x="9"/>
        <item x="5"/>
        <item x="2"/>
        <item x="8"/>
        <item x="7"/>
        <item x="10"/>
        <item x="4"/>
        <item x="11"/>
        <item x="18"/>
        <item x="19"/>
        <item x="17"/>
        <item x="0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2">
    <i>
      <x v="5"/>
    </i>
    <i t="grand">
      <x/>
    </i>
  </colItems>
  <dataFields count="5">
    <dataField name="2018%" fld="1" baseField="0" baseItem="5"/>
    <dataField name="2019%" fld="2" baseField="0" baseItem="5"/>
    <dataField name="2020%" fld="3" baseField="0" baseItem="5"/>
    <dataField name="2021%" fld="4" baseField="0" baseItem="5"/>
    <dataField name="2022%" fld="5" baseField="0" baseItem="5"/>
  </dataFields>
  <formats count="1">
    <format dxfId="7">
      <pivotArea dataOnly="0" outline="0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3E2E56-C53C-4EF7-9F2A-814658729FE9}" name="Table5" displayName="Table5" ref="A3:F4" totalsRowShown="0">
  <autoFilter ref="A3:F4" xr:uid="{4E3E2E56-C53C-4EF7-9F2A-814658729FE9}"/>
  <tableColumns count="6">
    <tableColumn id="1" xr3:uid="{9F1BC223-D8BF-479F-ACA8-07AA9022CDFE}" name="For the year ended 31 December"/>
    <tableColumn id="2" xr3:uid="{0E552BF1-1A29-449D-AFC6-9DE5C18A91FC}" name="2018" dataDxfId="4"/>
    <tableColumn id="3" xr3:uid="{750E642A-3020-4AF8-9496-BB61CC052312}" name="2019" dataDxfId="3"/>
    <tableColumn id="4" xr3:uid="{A58F2796-71C5-4831-8F59-74CD6DDCF6EC}" name="2020" dataDxfId="2"/>
    <tableColumn id="5" xr3:uid="{6E1F6F78-97CB-4906-B511-EAB46EA2A4D5}" name="2021" dataDxfId="1"/>
    <tableColumn id="6" xr3:uid="{A833CEAD-647F-496E-B25C-547833B36F1D}" name="202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4" workbookViewId="0">
      <selection activeCell="A4" sqref="A4:F31"/>
    </sheetView>
  </sheetViews>
  <sheetFormatPr defaultRowHeight="15" x14ac:dyDescent="0.25"/>
  <cols>
    <col min="1" max="1" width="45" customWidth="1"/>
    <col min="2" max="6" width="16" customWidth="1"/>
  </cols>
  <sheetData>
    <row r="1" spans="1:6" ht="20.25" x14ac:dyDescent="0.3">
      <c r="A1" s="24" t="s">
        <v>0</v>
      </c>
    </row>
    <row r="2" spans="1:6" x14ac:dyDescent="0.25">
      <c r="A2" s="2" t="s">
        <v>1</v>
      </c>
    </row>
    <row r="4" spans="1:6" x14ac:dyDescent="0.25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</row>
    <row r="6" spans="1:6" x14ac:dyDescent="0.25">
      <c r="A6" s="3" t="s">
        <v>8</v>
      </c>
      <c r="B6" s="4">
        <v>360308</v>
      </c>
      <c r="C6" s="4">
        <v>453550</v>
      </c>
      <c r="D6" s="4">
        <v>425666</v>
      </c>
      <c r="E6" s="4">
        <v>519417</v>
      </c>
      <c r="F6" s="4">
        <v>769079</v>
      </c>
    </row>
    <row r="7" spans="1:6" x14ac:dyDescent="0.25">
      <c r="A7" s="3" t="s">
        <v>9</v>
      </c>
      <c r="B7" s="4">
        <v>20607</v>
      </c>
      <c r="C7" s="4">
        <v>83297</v>
      </c>
      <c r="D7" s="4">
        <v>63551</v>
      </c>
      <c r="E7" s="4">
        <v>82234</v>
      </c>
      <c r="F7" s="4">
        <v>57506</v>
      </c>
    </row>
    <row r="8" spans="1:6" x14ac:dyDescent="0.25">
      <c r="A8" s="3" t="s">
        <v>10</v>
      </c>
      <c r="B8" s="4">
        <v>-207337</v>
      </c>
      <c r="C8" s="4">
        <v>-259618</v>
      </c>
      <c r="D8" s="4">
        <v>-226267</v>
      </c>
      <c r="E8" s="4">
        <v>-300243</v>
      </c>
      <c r="F8" s="4">
        <v>-467729</v>
      </c>
    </row>
    <row r="9" spans="1:6" x14ac:dyDescent="0.25">
      <c r="A9" s="31" t="s">
        <v>11</v>
      </c>
      <c r="B9" s="32">
        <f>SUM(B6:B8)</f>
        <v>173578</v>
      </c>
      <c r="C9" s="32">
        <f>SUM(C6:C8)</f>
        <v>277229</v>
      </c>
      <c r="D9" s="32">
        <f>SUM(D6:D8)</f>
        <v>262950</v>
      </c>
      <c r="E9" s="32">
        <f>SUM(E6:E8)</f>
        <v>301408</v>
      </c>
      <c r="F9" s="32">
        <f>SUM(F6:F8)</f>
        <v>358856</v>
      </c>
    </row>
    <row r="10" spans="1:6" x14ac:dyDescent="0.25">
      <c r="A10" s="5"/>
    </row>
    <row r="11" spans="1:6" x14ac:dyDescent="0.25">
      <c r="A11" s="3" t="s">
        <v>12</v>
      </c>
      <c r="B11" s="4">
        <v>-14657</v>
      </c>
      <c r="C11" s="4">
        <v>-20189</v>
      </c>
      <c r="D11" s="4">
        <v>-62893</v>
      </c>
      <c r="E11" s="4">
        <v>-83214</v>
      </c>
      <c r="F11" s="4">
        <v>-197790</v>
      </c>
    </row>
    <row r="12" spans="1:6" x14ac:dyDescent="0.25">
      <c r="A12" s="31" t="s">
        <v>13</v>
      </c>
      <c r="B12" s="32">
        <f>B9+B11</f>
        <v>158921</v>
      </c>
      <c r="C12" s="32">
        <f>C9+C11</f>
        <v>257040</v>
      </c>
      <c r="D12" s="32">
        <f>D9+D11</f>
        <v>200057</v>
      </c>
      <c r="E12" s="32">
        <f>E9+E11</f>
        <v>218194</v>
      </c>
      <c r="F12" s="32">
        <f>F9+F11</f>
        <v>161066</v>
      </c>
    </row>
    <row r="13" spans="1:6" x14ac:dyDescent="0.25">
      <c r="A13" s="5"/>
    </row>
    <row r="14" spans="1:6" x14ac:dyDescent="0.25">
      <c r="A14" s="3" t="s">
        <v>14</v>
      </c>
      <c r="B14" s="4">
        <v>62096</v>
      </c>
      <c r="C14" s="4">
        <v>91845</v>
      </c>
      <c r="D14" s="4">
        <v>116700</v>
      </c>
      <c r="E14" s="4">
        <v>158917</v>
      </c>
      <c r="F14" s="4">
        <v>195470</v>
      </c>
    </row>
    <row r="15" spans="1:6" x14ac:dyDescent="0.25">
      <c r="A15" s="3" t="s">
        <v>15</v>
      </c>
      <c r="B15" s="4">
        <v>-9601</v>
      </c>
      <c r="C15" s="4">
        <v>-17798</v>
      </c>
      <c r="D15" s="4">
        <v>-23127</v>
      </c>
      <c r="E15" s="4">
        <v>-40589</v>
      </c>
      <c r="F15" s="4">
        <v>-51850</v>
      </c>
    </row>
    <row r="16" spans="1:6" x14ac:dyDescent="0.25">
      <c r="A16" s="31" t="s">
        <v>16</v>
      </c>
      <c r="B16" s="32">
        <f>B14+B15</f>
        <v>52495</v>
      </c>
      <c r="C16" s="32">
        <f>C14+C15</f>
        <v>74047</v>
      </c>
      <c r="D16" s="32">
        <f>D14+D15</f>
        <v>93573</v>
      </c>
      <c r="E16" s="32">
        <f>E14+E15</f>
        <v>118328</v>
      </c>
      <c r="F16" s="32">
        <f>F14+F15</f>
        <v>143620</v>
      </c>
    </row>
    <row r="17" spans="1:6" x14ac:dyDescent="0.25">
      <c r="A17" s="5"/>
    </row>
    <row r="18" spans="1:6" x14ac:dyDescent="0.25">
      <c r="A18" s="3" t="s">
        <v>17</v>
      </c>
      <c r="B18" s="4">
        <v>96324</v>
      </c>
      <c r="C18" s="4">
        <v>66102</v>
      </c>
      <c r="D18" s="4">
        <v>122690</v>
      </c>
      <c r="E18" s="4">
        <v>44780</v>
      </c>
      <c r="F18" s="4">
        <v>281304</v>
      </c>
    </row>
    <row r="19" spans="1:6" x14ac:dyDescent="0.25">
      <c r="A19" s="3" t="s">
        <v>18</v>
      </c>
      <c r="B19" s="4">
        <v>-23769</v>
      </c>
      <c r="C19" s="4">
        <v>-83876</v>
      </c>
      <c r="D19" s="4">
        <v>-7568</v>
      </c>
      <c r="E19" s="4">
        <v>101101</v>
      </c>
      <c r="F19" s="4">
        <v>34500</v>
      </c>
    </row>
    <row r="20" spans="1:6" x14ac:dyDescent="0.25">
      <c r="A20" s="3" t="s">
        <v>19</v>
      </c>
      <c r="B20" s="4">
        <v>0</v>
      </c>
      <c r="C20" s="4">
        <v>0</v>
      </c>
      <c r="D20" s="4">
        <v>-795</v>
      </c>
      <c r="E20" s="4">
        <v>-872</v>
      </c>
      <c r="F20" s="4">
        <v>19742</v>
      </c>
    </row>
    <row r="21" spans="1:6" x14ac:dyDescent="0.25">
      <c r="A21" s="3" t="s">
        <v>20</v>
      </c>
      <c r="B21" s="4">
        <v>13179</v>
      </c>
      <c r="C21" s="4">
        <v>55836</v>
      </c>
      <c r="D21" s="4">
        <v>44474</v>
      </c>
      <c r="E21" s="4">
        <v>63411</v>
      </c>
      <c r="F21" s="4">
        <v>24660</v>
      </c>
    </row>
    <row r="22" spans="1:6" x14ac:dyDescent="0.25">
      <c r="A22" s="3" t="s">
        <v>21</v>
      </c>
      <c r="B22" s="4">
        <v>0</v>
      </c>
      <c r="C22" s="4">
        <v>0</v>
      </c>
      <c r="D22" s="4">
        <v>0</v>
      </c>
      <c r="E22" s="4">
        <v>2484</v>
      </c>
      <c r="F22" s="4">
        <v>0</v>
      </c>
    </row>
    <row r="23" spans="1:6" x14ac:dyDescent="0.25">
      <c r="A23" s="5"/>
    </row>
    <row r="24" spans="1:6" x14ac:dyDescent="0.25">
      <c r="A24" s="31" t="s">
        <v>22</v>
      </c>
      <c r="B24" s="32">
        <f>B12+B16+SUM(B18:B22)</f>
        <v>297150</v>
      </c>
      <c r="C24" s="32">
        <f>C12+C16+SUM(C18:C22)</f>
        <v>369149</v>
      </c>
      <c r="D24" s="32">
        <f>D12+D16+SUM(D18:D22)</f>
        <v>452431</v>
      </c>
      <c r="E24" s="32">
        <f>E12+E16+SUM(E18:E22)</f>
        <v>547426</v>
      </c>
      <c r="F24" s="32">
        <f>F12+F16+SUM(F18:F22)</f>
        <v>664892</v>
      </c>
    </row>
    <row r="25" spans="1:6" x14ac:dyDescent="0.25">
      <c r="A25" s="5"/>
    </row>
    <row r="26" spans="1:6" x14ac:dyDescent="0.25">
      <c r="A26" s="3" t="s">
        <v>23</v>
      </c>
      <c r="B26" s="4">
        <v>-57144</v>
      </c>
      <c r="C26" s="4">
        <v>-76964</v>
      </c>
      <c r="D26" s="4">
        <v>-73173</v>
      </c>
      <c r="E26" s="4">
        <v>-96613</v>
      </c>
      <c r="F26" s="4">
        <v>-114763</v>
      </c>
    </row>
    <row r="27" spans="1:6" x14ac:dyDescent="0.25">
      <c r="A27" s="3" t="s">
        <v>24</v>
      </c>
      <c r="B27" s="4">
        <v>-13535</v>
      </c>
      <c r="C27" s="4">
        <v>-21233</v>
      </c>
      <c r="D27" s="4">
        <v>-27615</v>
      </c>
      <c r="E27" s="4">
        <v>-29139</v>
      </c>
      <c r="F27" s="4">
        <v>-30298</v>
      </c>
    </row>
    <row r="28" spans="1:6" x14ac:dyDescent="0.25">
      <c r="A28" s="3" t="s">
        <v>25</v>
      </c>
      <c r="B28" s="4">
        <v>-2799</v>
      </c>
      <c r="C28" s="4">
        <v>-4475</v>
      </c>
      <c r="D28" s="4">
        <v>-9913</v>
      </c>
      <c r="E28" s="4">
        <v>-12974</v>
      </c>
      <c r="F28" s="4">
        <v>-13825</v>
      </c>
    </row>
    <row r="29" spans="1:6" x14ac:dyDescent="0.25">
      <c r="A29" s="3" t="s">
        <v>26</v>
      </c>
      <c r="B29" s="4">
        <v>-116149</v>
      </c>
      <c r="C29" s="4">
        <v>-151098</v>
      </c>
      <c r="D29" s="4">
        <v>-215807</v>
      </c>
      <c r="E29" s="4">
        <v>-232213</v>
      </c>
      <c r="F29" s="4">
        <v>-335720</v>
      </c>
    </row>
    <row r="30" spans="1:6" x14ac:dyDescent="0.25">
      <c r="A30" s="5"/>
    </row>
    <row r="31" spans="1:6" x14ac:dyDescent="0.25">
      <c r="A31" s="31" t="s">
        <v>27</v>
      </c>
      <c r="B31" s="32">
        <f>SUM(B26:B29)</f>
        <v>-189627</v>
      </c>
      <c r="C31" s="32">
        <f>SUM(C26:C29)</f>
        <v>-253770</v>
      </c>
      <c r="D31" s="32">
        <f>SUM(D26:D29)</f>
        <v>-326508</v>
      </c>
      <c r="E31" s="32">
        <f>SUM(E26:E29)</f>
        <v>-370939</v>
      </c>
      <c r="F31" s="32">
        <f>SUM(F26:F29)</f>
        <v>-494606</v>
      </c>
    </row>
    <row r="32" spans="1:6" x14ac:dyDescent="0.25">
      <c r="A32" s="5"/>
    </row>
    <row r="33" spans="1:6" x14ac:dyDescent="0.25">
      <c r="A33" s="31" t="s">
        <v>28</v>
      </c>
      <c r="B33" s="32">
        <f>B24+B31</f>
        <v>107523</v>
      </c>
      <c r="C33" s="32">
        <f>C24+C31</f>
        <v>115379</v>
      </c>
      <c r="D33" s="32">
        <f>D24+D31</f>
        <v>125923</v>
      </c>
      <c r="E33" s="32">
        <f>E24+E31</f>
        <v>176487</v>
      </c>
      <c r="F33" s="32">
        <f>F24+F31</f>
        <v>170286</v>
      </c>
    </row>
    <row r="34" spans="1:6" x14ac:dyDescent="0.25">
      <c r="A34" s="3" t="s">
        <v>29</v>
      </c>
      <c r="B34" s="4">
        <v>-8207</v>
      </c>
      <c r="C34" s="4">
        <v>-17869</v>
      </c>
      <c r="D34" s="4">
        <v>-19912</v>
      </c>
      <c r="E34" s="4">
        <v>-16485</v>
      </c>
      <c r="F34" s="4">
        <v>-14529</v>
      </c>
    </row>
    <row r="35" spans="1:6" x14ac:dyDescent="0.25">
      <c r="A35" s="5"/>
    </row>
    <row r="36" spans="1:6" x14ac:dyDescent="0.25">
      <c r="A36" s="31" t="s">
        <v>30</v>
      </c>
      <c r="B36" s="32">
        <f>B33+B34</f>
        <v>99316</v>
      </c>
      <c r="C36" s="32">
        <f>C33+C34</f>
        <v>97510</v>
      </c>
      <c r="D36" s="32">
        <f>D33+D34</f>
        <v>106011</v>
      </c>
      <c r="E36" s="32">
        <f>E33+E34</f>
        <v>160002</v>
      </c>
      <c r="F36" s="32">
        <f>F33+F34</f>
        <v>155757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>
      <selection activeCell="B7" sqref="B7"/>
    </sheetView>
  </sheetViews>
  <sheetFormatPr defaultRowHeight="15" x14ac:dyDescent="0.25"/>
  <cols>
    <col min="1" max="1" width="45" customWidth="1"/>
    <col min="2" max="6" width="16" customWidth="1"/>
  </cols>
  <sheetData>
    <row r="1" spans="1:6" ht="20.25" x14ac:dyDescent="0.3">
      <c r="A1" s="24" t="s">
        <v>0</v>
      </c>
    </row>
    <row r="2" spans="1:6" x14ac:dyDescent="0.25">
      <c r="A2" s="2" t="s">
        <v>31</v>
      </c>
    </row>
    <row r="4" spans="1:6" x14ac:dyDescent="0.25">
      <c r="A4" s="22" t="s">
        <v>32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</row>
    <row r="6" spans="1:6" x14ac:dyDescent="0.25">
      <c r="A6" s="28" t="s">
        <v>33</v>
      </c>
    </row>
    <row r="7" spans="1:6" x14ac:dyDescent="0.25">
      <c r="A7" s="20" t="s">
        <v>34</v>
      </c>
      <c r="B7" s="30">
        <v>740926</v>
      </c>
      <c r="C7" s="30">
        <v>723064</v>
      </c>
      <c r="D7" s="30">
        <v>723873</v>
      </c>
      <c r="E7" s="30">
        <v>1487665</v>
      </c>
      <c r="F7" s="30">
        <v>1961100</v>
      </c>
    </row>
    <row r="8" spans="1:6" x14ac:dyDescent="0.25">
      <c r="A8" s="20" t="s">
        <v>35</v>
      </c>
      <c r="B8" s="30">
        <v>23839</v>
      </c>
      <c r="C8" s="30">
        <v>28292</v>
      </c>
      <c r="D8" s="30">
        <v>30451</v>
      </c>
      <c r="E8" s="30">
        <v>34942</v>
      </c>
      <c r="F8" s="30">
        <v>3742</v>
      </c>
    </row>
    <row r="9" spans="1:6" x14ac:dyDescent="0.25">
      <c r="A9" s="20" t="s">
        <v>36</v>
      </c>
      <c r="B9" s="30">
        <v>38817</v>
      </c>
      <c r="C9" s="30">
        <v>129819</v>
      </c>
      <c r="D9" s="30">
        <v>207952</v>
      </c>
      <c r="E9" s="30">
        <v>892508</v>
      </c>
      <c r="F9" s="30">
        <v>102690</v>
      </c>
    </row>
    <row r="10" spans="1:6" x14ac:dyDescent="0.25">
      <c r="A10" s="20" t="s">
        <v>37</v>
      </c>
      <c r="B10" s="30">
        <v>128440</v>
      </c>
      <c r="C10" s="30">
        <v>143521</v>
      </c>
      <c r="D10" s="30">
        <v>251113</v>
      </c>
      <c r="E10" s="30">
        <v>171332</v>
      </c>
      <c r="F10" s="30">
        <v>402497</v>
      </c>
    </row>
    <row r="11" spans="1:6" x14ac:dyDescent="0.25">
      <c r="A11" s="20" t="s">
        <v>38</v>
      </c>
      <c r="B11" s="30">
        <v>142490</v>
      </c>
      <c r="C11" s="30">
        <v>152825</v>
      </c>
      <c r="D11" s="30">
        <v>392821</v>
      </c>
      <c r="E11" s="30">
        <v>284548</v>
      </c>
      <c r="F11" s="30">
        <v>455710</v>
      </c>
    </row>
    <row r="12" spans="1:6" x14ac:dyDescent="0.25">
      <c r="A12" s="20" t="s">
        <v>39</v>
      </c>
      <c r="B12" s="30">
        <v>1993606</v>
      </c>
      <c r="C12" s="30">
        <v>2911580</v>
      </c>
      <c r="D12" s="30">
        <v>3218107</v>
      </c>
      <c r="E12" s="30">
        <v>4161364</v>
      </c>
      <c r="F12" s="30">
        <v>5100807</v>
      </c>
    </row>
    <row r="13" spans="1:6" x14ac:dyDescent="0.25">
      <c r="A13" s="20" t="s">
        <v>40</v>
      </c>
      <c r="B13" s="30">
        <v>554053</v>
      </c>
      <c r="C13" s="30">
        <v>605556</v>
      </c>
      <c r="D13" s="30">
        <v>228546</v>
      </c>
      <c r="E13" s="30">
        <v>344537</v>
      </c>
      <c r="F13" s="30">
        <v>1265279</v>
      </c>
    </row>
    <row r="14" spans="1:6" x14ac:dyDescent="0.25">
      <c r="A14" s="20" t="s">
        <v>41</v>
      </c>
      <c r="B14" s="30">
        <v>501072</v>
      </c>
      <c r="C14" s="30">
        <v>1084604</v>
      </c>
      <c r="D14" s="30">
        <v>1749549</v>
      </c>
      <c r="E14" s="30">
        <v>2270338</v>
      </c>
      <c r="F14" s="30">
        <v>2761070</v>
      </c>
    </row>
    <row r="15" spans="1:6" x14ac:dyDescent="0.25">
      <c r="A15" s="20" t="s">
        <v>42</v>
      </c>
      <c r="B15" s="30">
        <v>0</v>
      </c>
      <c r="C15" s="30">
        <v>927</v>
      </c>
      <c r="D15" s="30">
        <v>217</v>
      </c>
      <c r="E15" s="30">
        <v>217</v>
      </c>
      <c r="F15" s="30">
        <v>217</v>
      </c>
    </row>
    <row r="16" spans="1:6" x14ac:dyDescent="0.25">
      <c r="A16" s="20" t="s">
        <v>43</v>
      </c>
      <c r="B16" s="30">
        <v>704327</v>
      </c>
      <c r="C16" s="30">
        <v>1055510</v>
      </c>
      <c r="D16" s="30">
        <v>1548891</v>
      </c>
      <c r="E16" s="30">
        <v>1707290</v>
      </c>
      <c r="F16" s="30">
        <v>2487691</v>
      </c>
    </row>
    <row r="17" spans="1:6" x14ac:dyDescent="0.25">
      <c r="A17" s="20" t="s">
        <v>44</v>
      </c>
      <c r="B17" s="30">
        <v>0</v>
      </c>
      <c r="C17" s="30">
        <v>0</v>
      </c>
      <c r="D17" s="30">
        <v>0</v>
      </c>
      <c r="E17" s="30">
        <v>2641</v>
      </c>
      <c r="F17" s="30">
        <v>7510</v>
      </c>
    </row>
    <row r="18" spans="1:6" x14ac:dyDescent="0.25">
      <c r="A18" s="20" t="s">
        <v>45</v>
      </c>
      <c r="B18" s="30">
        <v>103669</v>
      </c>
      <c r="C18" s="30">
        <v>211214</v>
      </c>
      <c r="D18" s="30">
        <v>226479</v>
      </c>
      <c r="E18" s="30">
        <v>247734</v>
      </c>
      <c r="F18" s="30">
        <v>293152</v>
      </c>
    </row>
    <row r="19" spans="1:6" x14ac:dyDescent="0.25">
      <c r="A19" s="20" t="s">
        <v>46</v>
      </c>
      <c r="B19" s="30">
        <v>9753</v>
      </c>
      <c r="C19" s="30">
        <v>65933</v>
      </c>
      <c r="D19" s="30">
        <v>69190</v>
      </c>
      <c r="E19" s="30">
        <v>70332</v>
      </c>
      <c r="F19" s="30">
        <v>73782</v>
      </c>
    </row>
    <row r="20" spans="1:6" x14ac:dyDescent="0.25">
      <c r="A20" s="20" t="s">
        <v>47</v>
      </c>
      <c r="B20" s="30">
        <v>923</v>
      </c>
      <c r="C20" s="30">
        <v>8808</v>
      </c>
      <c r="D20" s="30">
        <v>4240</v>
      </c>
      <c r="E20" s="30">
        <v>13781</v>
      </c>
      <c r="F20" s="30">
        <v>15023</v>
      </c>
    </row>
    <row r="21" spans="1:6" x14ac:dyDescent="0.25">
      <c r="A21" s="20" t="s">
        <v>48</v>
      </c>
      <c r="B21" s="30">
        <v>12242</v>
      </c>
      <c r="C21" s="30">
        <v>24958</v>
      </c>
      <c r="D21" s="30">
        <v>28318</v>
      </c>
      <c r="E21" s="30">
        <v>42737</v>
      </c>
      <c r="F21" s="30">
        <v>42039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25" t="s">
        <v>49</v>
      </c>
      <c r="B23" s="26">
        <f>SUM(B7:B21)</f>
        <v>4954157</v>
      </c>
      <c r="C23" s="26">
        <f>SUM(C7:C21)</f>
        <v>7146611</v>
      </c>
      <c r="D23" s="26">
        <f>SUM(D7:D21)</f>
        <v>8679747</v>
      </c>
      <c r="E23" s="26">
        <f>SUM(E7:E21)</f>
        <v>11731966</v>
      </c>
      <c r="F23" s="26">
        <f>SUM(F7:F21)</f>
        <v>14972309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27" t="s">
        <v>50</v>
      </c>
      <c r="B25" s="21"/>
      <c r="C25" s="21"/>
      <c r="D25" s="21"/>
      <c r="E25" s="21"/>
      <c r="F25" s="21"/>
    </row>
    <row r="26" spans="1:6" x14ac:dyDescent="0.25">
      <c r="A26" s="20" t="s">
        <v>51</v>
      </c>
      <c r="B26" s="30">
        <v>994573</v>
      </c>
      <c r="C26" s="30">
        <v>1186356</v>
      </c>
      <c r="D26" s="30">
        <v>958397</v>
      </c>
      <c r="E26" s="30">
        <v>1696521</v>
      </c>
      <c r="F26" s="30">
        <v>2005316</v>
      </c>
    </row>
    <row r="27" spans="1:6" x14ac:dyDescent="0.25">
      <c r="A27" s="20" t="s">
        <v>52</v>
      </c>
      <c r="B27" s="30">
        <v>2564908</v>
      </c>
      <c r="C27" s="30">
        <v>4255837</v>
      </c>
      <c r="D27" s="30">
        <v>5587418</v>
      </c>
      <c r="E27" s="30">
        <v>6954827</v>
      </c>
      <c r="F27" s="30">
        <v>9251238</v>
      </c>
    </row>
    <row r="28" spans="1:6" x14ac:dyDescent="0.25">
      <c r="A28" s="20" t="s">
        <v>53</v>
      </c>
      <c r="B28" s="30">
        <v>5206</v>
      </c>
      <c r="C28" s="30">
        <v>6886</v>
      </c>
      <c r="D28" s="30">
        <v>20881</v>
      </c>
      <c r="E28" s="30">
        <v>13953</v>
      </c>
      <c r="F28" s="30">
        <v>32737</v>
      </c>
    </row>
    <row r="29" spans="1:6" x14ac:dyDescent="0.25">
      <c r="A29" s="20" t="s">
        <v>54</v>
      </c>
      <c r="B29" s="30">
        <v>4058</v>
      </c>
      <c r="C29" s="30">
        <v>3531</v>
      </c>
      <c r="D29" s="30">
        <v>2160</v>
      </c>
      <c r="E29" s="30">
        <v>4643</v>
      </c>
      <c r="F29" s="30">
        <v>4501</v>
      </c>
    </row>
    <row r="30" spans="1:6" x14ac:dyDescent="0.25">
      <c r="A30" s="20" t="s">
        <v>55</v>
      </c>
      <c r="B30" s="30">
        <v>246439</v>
      </c>
      <c r="C30" s="30">
        <v>324334</v>
      </c>
      <c r="D30" s="30">
        <v>379417</v>
      </c>
      <c r="E30" s="30">
        <v>560709</v>
      </c>
      <c r="F30" s="30">
        <v>753875</v>
      </c>
    </row>
    <row r="31" spans="1:6" x14ac:dyDescent="0.25">
      <c r="A31" s="20" t="s">
        <v>56</v>
      </c>
      <c r="B31" s="30">
        <v>6457</v>
      </c>
      <c r="C31" s="30">
        <v>11273</v>
      </c>
      <c r="D31" s="30">
        <v>14877</v>
      </c>
      <c r="E31" s="30">
        <v>11652</v>
      </c>
      <c r="F31" s="30">
        <v>1796</v>
      </c>
    </row>
    <row r="32" spans="1:6" x14ac:dyDescent="0.25">
      <c r="A32" s="20" t="s">
        <v>57</v>
      </c>
      <c r="B32" s="30">
        <v>251251</v>
      </c>
      <c r="C32" s="30">
        <v>157988</v>
      </c>
      <c r="D32" s="30">
        <v>169160</v>
      </c>
      <c r="E32" s="30">
        <v>264495</v>
      </c>
      <c r="F32" s="30">
        <v>307253</v>
      </c>
    </row>
    <row r="33" spans="1:6" x14ac:dyDescent="0.25">
      <c r="A33" s="20" t="s">
        <v>58</v>
      </c>
      <c r="B33" s="30">
        <v>388417</v>
      </c>
      <c r="C33" s="30">
        <v>586603</v>
      </c>
      <c r="D33" s="30">
        <v>791455</v>
      </c>
      <c r="E33" s="30">
        <v>1171260</v>
      </c>
      <c r="F33" s="30">
        <v>1385424</v>
      </c>
    </row>
    <row r="34" spans="1:6" x14ac:dyDescent="0.25">
      <c r="A34" s="20" t="s">
        <v>59</v>
      </c>
      <c r="B34" s="30">
        <v>2336</v>
      </c>
      <c r="C34" s="30">
        <v>3609</v>
      </c>
      <c r="D34" s="30">
        <v>4941</v>
      </c>
      <c r="E34" s="30">
        <v>3877</v>
      </c>
      <c r="F34" s="30">
        <v>3277</v>
      </c>
    </row>
    <row r="35" spans="1:6" x14ac:dyDescent="0.25">
      <c r="A35" s="20"/>
      <c r="B35" s="21"/>
      <c r="C35" s="21"/>
      <c r="D35" s="21"/>
      <c r="E35" s="21"/>
      <c r="F35" s="21"/>
    </row>
    <row r="36" spans="1:6" x14ac:dyDescent="0.25">
      <c r="A36" s="34" t="s">
        <v>60</v>
      </c>
      <c r="B36" s="35">
        <f>SUM(B26:B34)</f>
        <v>4463645</v>
      </c>
      <c r="C36" s="35">
        <f>SUM(C26:C34)</f>
        <v>6536417</v>
      </c>
      <c r="D36" s="35">
        <f>SUM(D26:D34)</f>
        <v>7928706</v>
      </c>
      <c r="E36" s="35">
        <f>SUM(E26:E34)</f>
        <v>10681937</v>
      </c>
      <c r="F36" s="35">
        <f>SUM(F26:F34)</f>
        <v>13745417</v>
      </c>
    </row>
    <row r="37" spans="1:6" x14ac:dyDescent="0.25">
      <c r="A37" s="20"/>
      <c r="B37" s="21"/>
      <c r="C37" s="21"/>
      <c r="D37" s="21"/>
      <c r="E37" s="21"/>
      <c r="F37" s="21"/>
    </row>
    <row r="38" spans="1:6" x14ac:dyDescent="0.25">
      <c r="A38" s="36" t="s">
        <v>61</v>
      </c>
      <c r="B38" s="21"/>
      <c r="C38" s="21"/>
      <c r="D38" s="21"/>
      <c r="E38" s="21"/>
      <c r="F38" s="21"/>
    </row>
    <row r="39" spans="1:6" x14ac:dyDescent="0.25">
      <c r="A39" s="20" t="s">
        <v>62</v>
      </c>
      <c r="B39" s="30">
        <v>212439</v>
      </c>
      <c r="C39" s="30">
        <v>251811</v>
      </c>
      <c r="D39" s="30">
        <v>251811</v>
      </c>
      <c r="E39" s="30">
        <v>251811</v>
      </c>
      <c r="F39" s="30">
        <v>251811</v>
      </c>
    </row>
    <row r="40" spans="1:6" x14ac:dyDescent="0.25">
      <c r="A40" s="20" t="s">
        <v>63</v>
      </c>
      <c r="B40" s="30">
        <v>0</v>
      </c>
      <c r="C40" s="30">
        <v>0</v>
      </c>
      <c r="D40" s="30">
        <v>0</v>
      </c>
      <c r="E40" s="30">
        <v>206355</v>
      </c>
      <c r="F40" s="30">
        <v>206355</v>
      </c>
    </row>
    <row r="41" spans="1:6" x14ac:dyDescent="0.25">
      <c r="A41" s="20" t="s">
        <v>64</v>
      </c>
      <c r="B41" s="30">
        <v>155593</v>
      </c>
      <c r="C41" s="30">
        <v>225119</v>
      </c>
      <c r="D41" s="30">
        <v>252397</v>
      </c>
      <c r="E41" s="30">
        <v>397273</v>
      </c>
      <c r="F41" s="30">
        <v>409653</v>
      </c>
    </row>
    <row r="42" spans="1:6" x14ac:dyDescent="0.25">
      <c r="A42" s="20" t="s">
        <v>65</v>
      </c>
      <c r="B42" s="30">
        <v>114610</v>
      </c>
      <c r="C42" s="30">
        <v>129824</v>
      </c>
      <c r="D42" s="30">
        <v>246734</v>
      </c>
      <c r="E42" s="30">
        <v>194576</v>
      </c>
      <c r="F42" s="30">
        <v>344677</v>
      </c>
    </row>
    <row r="43" spans="1:6" x14ac:dyDescent="0.25">
      <c r="A43" s="20" t="s">
        <v>66</v>
      </c>
      <c r="B43" s="30">
        <v>7870</v>
      </c>
      <c r="C43" s="30">
        <v>8529</v>
      </c>
      <c r="D43" s="30">
        <v>7339</v>
      </c>
      <c r="E43" s="30">
        <v>23477</v>
      </c>
      <c r="F43" s="30">
        <v>14395</v>
      </c>
    </row>
    <row r="44" spans="1:6" x14ac:dyDescent="0.25">
      <c r="A44" s="20"/>
      <c r="B44" s="21"/>
      <c r="C44" s="21"/>
      <c r="D44" s="21"/>
      <c r="E44" s="21"/>
      <c r="F44" s="21"/>
    </row>
    <row r="45" spans="1:6" x14ac:dyDescent="0.25">
      <c r="A45" s="31" t="s">
        <v>67</v>
      </c>
      <c r="B45" s="32">
        <f>SUM(B39:B43)</f>
        <v>490512</v>
      </c>
      <c r="C45" s="32">
        <f>SUM(C39:C43)</f>
        <v>615283</v>
      </c>
      <c r="D45" s="32">
        <f>SUM(D39:D43)</f>
        <v>758281</v>
      </c>
      <c r="E45" s="32">
        <f>SUM(E39:E43)</f>
        <v>1073492</v>
      </c>
      <c r="F45" s="32">
        <f>SUM(F39:F43)</f>
        <v>1226891</v>
      </c>
    </row>
    <row r="46" spans="1:6" x14ac:dyDescent="0.25">
      <c r="A46" s="5"/>
    </row>
    <row r="47" spans="1:6" x14ac:dyDescent="0.25">
      <c r="A47" s="31" t="s">
        <v>68</v>
      </c>
      <c r="B47" s="32">
        <f>B36+B45</f>
        <v>4954157</v>
      </c>
      <c r="C47" s="32">
        <f>C36+C45</f>
        <v>7151700</v>
      </c>
      <c r="D47" s="32">
        <f>D36+D45</f>
        <v>8686987</v>
      </c>
      <c r="E47" s="32">
        <f>E36+E45</f>
        <v>11755429</v>
      </c>
      <c r="F47" s="32">
        <f>F36+F45</f>
        <v>14972308</v>
      </c>
    </row>
    <row r="48" spans="1:6" x14ac:dyDescent="0.25">
      <c r="A48" s="5"/>
    </row>
    <row r="49" spans="1:6" x14ac:dyDescent="0.25">
      <c r="A49" s="37" t="s">
        <v>69</v>
      </c>
      <c r="B49" s="6">
        <f>B23-B47</f>
        <v>0</v>
      </c>
      <c r="C49" s="6">
        <f>C23-C47</f>
        <v>-5089</v>
      </c>
      <c r="D49" s="6">
        <f>D23-D47</f>
        <v>-7240</v>
      </c>
      <c r="E49" s="6">
        <f>E23-E47</f>
        <v>-23463</v>
      </c>
      <c r="F49" s="6">
        <f>F23-F47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K5" sqref="K5"/>
    </sheetView>
  </sheetViews>
  <sheetFormatPr defaultRowHeight="15" x14ac:dyDescent="0.25"/>
  <cols>
    <col min="1" max="1" width="45" customWidth="1"/>
    <col min="2" max="6" width="16" customWidth="1"/>
  </cols>
  <sheetData>
    <row r="1" spans="1:6" ht="20.25" x14ac:dyDescent="0.3">
      <c r="A1" s="38" t="s">
        <v>0</v>
      </c>
    </row>
    <row r="2" spans="1:6" x14ac:dyDescent="0.25">
      <c r="A2" s="2" t="s">
        <v>70</v>
      </c>
    </row>
    <row r="4" spans="1:6" x14ac:dyDescent="0.25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</row>
    <row r="6" spans="1:6" x14ac:dyDescent="0.25">
      <c r="A6" s="29" t="s">
        <v>71</v>
      </c>
    </row>
    <row r="7" spans="1:6" x14ac:dyDescent="0.25">
      <c r="A7" s="7" t="s">
        <v>28</v>
      </c>
      <c r="B7" s="8">
        <f>'Income Statement'!B33</f>
        <v>107523</v>
      </c>
      <c r="C7" s="8">
        <f>'Income Statement'!C33</f>
        <v>115379</v>
      </c>
      <c r="D7" s="8">
        <f>'Income Statement'!D33</f>
        <v>125923</v>
      </c>
      <c r="E7" s="8">
        <f>'Income Statement'!E33</f>
        <v>176487</v>
      </c>
      <c r="F7" s="8">
        <f>'Income Statement'!F33</f>
        <v>170286</v>
      </c>
    </row>
    <row r="8" spans="1:6" x14ac:dyDescent="0.25">
      <c r="A8" s="3" t="s">
        <v>72</v>
      </c>
      <c r="B8" s="4">
        <v>69382</v>
      </c>
      <c r="C8" s="4">
        <v>43934</v>
      </c>
      <c r="D8" s="4">
        <v>90636</v>
      </c>
      <c r="E8" s="4">
        <v>104495</v>
      </c>
      <c r="F8" s="4">
        <v>241186</v>
      </c>
    </row>
    <row r="9" spans="1:6" x14ac:dyDescent="0.25">
      <c r="A9" s="3" t="s">
        <v>73</v>
      </c>
      <c r="B9" s="4">
        <v>443802</v>
      </c>
      <c r="C9" s="4">
        <v>369447</v>
      </c>
      <c r="D9" s="4">
        <v>-461527</v>
      </c>
      <c r="E9" s="4">
        <v>127412</v>
      </c>
      <c r="F9" s="4">
        <v>350111</v>
      </c>
    </row>
    <row r="10" spans="1:6" x14ac:dyDescent="0.25">
      <c r="A10" s="31" t="s">
        <v>74</v>
      </c>
      <c r="B10" s="32">
        <f>SUM(B7:B9)</f>
        <v>620707</v>
      </c>
      <c r="C10" s="32">
        <f>SUM(C7:C9)</f>
        <v>528760</v>
      </c>
      <c r="D10" s="32">
        <f>SUM(D7:D9)</f>
        <v>-244968</v>
      </c>
      <c r="E10" s="32">
        <f>SUM(E7:E9)</f>
        <v>408394</v>
      </c>
      <c r="F10" s="32">
        <f>SUM(F7:F9)</f>
        <v>761583</v>
      </c>
    </row>
    <row r="11" spans="1:6" x14ac:dyDescent="0.25">
      <c r="A11" s="5"/>
    </row>
    <row r="12" spans="1:6" x14ac:dyDescent="0.25">
      <c r="A12" s="29" t="s">
        <v>75</v>
      </c>
    </row>
    <row r="13" spans="1:6" x14ac:dyDescent="0.25">
      <c r="A13" s="3" t="s">
        <v>76</v>
      </c>
      <c r="B13" s="4">
        <v>-1555682</v>
      </c>
      <c r="C13" s="4">
        <v>-6043120</v>
      </c>
      <c r="D13" s="4">
        <v>-8516797</v>
      </c>
      <c r="E13" s="4">
        <v>-2219566</v>
      </c>
      <c r="F13" s="4">
        <v>-1981681</v>
      </c>
    </row>
    <row r="14" spans="1:6" x14ac:dyDescent="0.25">
      <c r="A14" s="3" t="s">
        <v>77</v>
      </c>
      <c r="B14" s="4">
        <v>1357276</v>
      </c>
      <c r="C14" s="4">
        <v>5661346</v>
      </c>
      <c r="D14" s="4">
        <v>8226359</v>
      </c>
      <c r="E14" s="4">
        <v>2220941</v>
      </c>
      <c r="F14" s="4">
        <v>1468478</v>
      </c>
    </row>
    <row r="15" spans="1:6" x14ac:dyDescent="0.25">
      <c r="A15" s="3" t="s">
        <v>78</v>
      </c>
      <c r="B15" s="4">
        <v>-24108</v>
      </c>
      <c r="C15" s="4">
        <v>-45299</v>
      </c>
      <c r="D15" s="4">
        <v>-43287</v>
      </c>
      <c r="E15" s="4">
        <v>-49868</v>
      </c>
      <c r="F15" s="4">
        <v>-93677</v>
      </c>
    </row>
    <row r="16" spans="1:6" x14ac:dyDescent="0.25">
      <c r="A16" s="3" t="s">
        <v>79</v>
      </c>
      <c r="B16" s="4">
        <v>105201</v>
      </c>
      <c r="C16" s="4">
        <v>11203</v>
      </c>
      <c r="D16" s="4">
        <v>18705</v>
      </c>
      <c r="E16" s="4">
        <v>128254</v>
      </c>
      <c r="F16" s="4">
        <v>28446</v>
      </c>
    </row>
    <row r="17" spans="1:6" x14ac:dyDescent="0.25">
      <c r="A17" s="31" t="s">
        <v>80</v>
      </c>
      <c r="B17" s="32">
        <f>SUM(B13:B16)</f>
        <v>-117313</v>
      </c>
      <c r="C17" s="32">
        <f>SUM(C13:C16)</f>
        <v>-415870</v>
      </c>
      <c r="D17" s="32">
        <f>SUM(D13:D16)</f>
        <v>-315020</v>
      </c>
      <c r="E17" s="32">
        <f>SUM(E13:E16)</f>
        <v>79761</v>
      </c>
      <c r="F17" s="32">
        <f>SUM(F13:F16)</f>
        <v>-578434</v>
      </c>
    </row>
    <row r="18" spans="1:6" x14ac:dyDescent="0.25">
      <c r="A18" s="5"/>
    </row>
    <row r="19" spans="1:6" x14ac:dyDescent="0.25">
      <c r="A19" s="29" t="s">
        <v>81</v>
      </c>
    </row>
    <row r="20" spans="1:6" x14ac:dyDescent="0.25">
      <c r="A20" s="3" t="s">
        <v>82</v>
      </c>
      <c r="B20" s="4">
        <v>123146</v>
      </c>
      <c r="C20" s="4">
        <v>103231</v>
      </c>
      <c r="D20" s="4">
        <v>256016</v>
      </c>
      <c r="E20" s="4">
        <v>429362</v>
      </c>
      <c r="F20" s="4">
        <v>678377</v>
      </c>
    </row>
    <row r="21" spans="1:6" x14ac:dyDescent="0.25">
      <c r="A21" s="3" t="s">
        <v>83</v>
      </c>
      <c r="B21" s="4">
        <v>-237494</v>
      </c>
      <c r="C21" s="4">
        <v>-216208</v>
      </c>
      <c r="D21" s="4">
        <v>-75582</v>
      </c>
      <c r="E21" s="4">
        <v>-114479</v>
      </c>
      <c r="F21" s="4">
        <v>-509479</v>
      </c>
    </row>
    <row r="22" spans="1:6" x14ac:dyDescent="0.25">
      <c r="A22" s="3" t="s">
        <v>84</v>
      </c>
      <c r="B22" s="4">
        <v>0</v>
      </c>
      <c r="C22" s="4">
        <v>0</v>
      </c>
      <c r="D22" s="4">
        <v>203748</v>
      </c>
      <c r="E22" s="4">
        <v>0</v>
      </c>
      <c r="F22" s="4">
        <v>0</v>
      </c>
    </row>
    <row r="23" spans="1:6" x14ac:dyDescent="0.25">
      <c r="A23" s="3" t="s">
        <v>85</v>
      </c>
      <c r="B23" s="4">
        <v>-18803</v>
      </c>
      <c r="C23" s="4">
        <v>-17773</v>
      </c>
      <c r="D23" s="4">
        <v>-23104</v>
      </c>
      <c r="E23" s="4">
        <v>-30213</v>
      </c>
      <c r="F23" s="4">
        <v>-35810</v>
      </c>
    </row>
    <row r="24" spans="1:6" x14ac:dyDescent="0.25">
      <c r="A24" s="3" t="s">
        <v>86</v>
      </c>
      <c r="B24" s="4">
        <v>-27841</v>
      </c>
      <c r="C24" s="4">
        <v>-2270</v>
      </c>
      <c r="D24" s="4">
        <v>-248238</v>
      </c>
      <c r="E24" s="4">
        <v>224333</v>
      </c>
      <c r="F24" s="4">
        <v>-98354</v>
      </c>
    </row>
    <row r="25" spans="1:6" x14ac:dyDescent="0.25">
      <c r="A25" s="31" t="s">
        <v>87</v>
      </c>
      <c r="B25" s="32">
        <f>SUM(B20:B24)</f>
        <v>-160992</v>
      </c>
      <c r="C25" s="32">
        <f>SUM(C20:C24)</f>
        <v>-133020</v>
      </c>
      <c r="D25" s="32">
        <f>SUM(D20:D24)</f>
        <v>112840</v>
      </c>
      <c r="E25" s="32">
        <f>SUM(E20:E24)</f>
        <v>509003</v>
      </c>
      <c r="F25" s="32">
        <f>SUM(F20:F24)</f>
        <v>34734</v>
      </c>
    </row>
    <row r="26" spans="1:6" x14ac:dyDescent="0.25">
      <c r="A26" s="5"/>
    </row>
    <row r="27" spans="1:6" x14ac:dyDescent="0.25">
      <c r="A27" s="31" t="s">
        <v>88</v>
      </c>
      <c r="B27" s="32">
        <f>B10+B17+B25</f>
        <v>342402</v>
      </c>
      <c r="C27" s="32">
        <f>C10+C17+C25</f>
        <v>-20130</v>
      </c>
      <c r="D27" s="32">
        <f>D10+D17+D25</f>
        <v>-447148</v>
      </c>
      <c r="E27" s="32">
        <f>E10+E17+E25</f>
        <v>997158</v>
      </c>
      <c r="F27" s="32">
        <f>F10+F17+F25</f>
        <v>217883</v>
      </c>
    </row>
    <row r="28" spans="1:6" x14ac:dyDescent="0.25">
      <c r="A28" s="33" t="s">
        <v>89</v>
      </c>
      <c r="B28" s="4">
        <v>493424</v>
      </c>
      <c r="C28" s="4">
        <v>864565</v>
      </c>
      <c r="D28" s="4">
        <v>1226031</v>
      </c>
      <c r="E28" s="4">
        <v>837847</v>
      </c>
      <c r="F28" s="4">
        <v>1528923</v>
      </c>
    </row>
    <row r="29" spans="1:6" x14ac:dyDescent="0.25">
      <c r="A29" s="3" t="s">
        <v>90</v>
      </c>
      <c r="B29" s="4">
        <v>-2875</v>
      </c>
      <c r="C29" s="4">
        <v>7236</v>
      </c>
      <c r="D29" s="4">
        <v>39578</v>
      </c>
      <c r="E29" s="4">
        <v>33933</v>
      </c>
      <c r="F29" s="4">
        <v>52975</v>
      </c>
    </row>
    <row r="30" spans="1:6" x14ac:dyDescent="0.25">
      <c r="A30" s="31" t="s">
        <v>91</v>
      </c>
      <c r="B30" s="32">
        <f>B28+B27+B29</f>
        <v>832951</v>
      </c>
      <c r="C30" s="32">
        <f>C28+C27+C29</f>
        <v>851671</v>
      </c>
      <c r="D30" s="32">
        <f>D28+D27+D29</f>
        <v>818461</v>
      </c>
      <c r="E30" s="32">
        <f>E28+E27+E29</f>
        <v>1868938</v>
      </c>
      <c r="F30" s="32">
        <f>F28+F27+F29</f>
        <v>1799781</v>
      </c>
    </row>
    <row r="31" spans="1:6" x14ac:dyDescent="0.25">
      <c r="A31" s="5"/>
    </row>
    <row r="32" spans="1:6" x14ac:dyDescent="0.25">
      <c r="A32" s="7" t="s">
        <v>92</v>
      </c>
      <c r="B32" s="8">
        <f>'Balance Sheet'!B7</f>
        <v>740926</v>
      </c>
      <c r="C32" s="8">
        <f>'Balance Sheet'!C7</f>
        <v>723064</v>
      </c>
      <c r="D32" s="8">
        <f>'Balance Sheet'!D7</f>
        <v>723873</v>
      </c>
      <c r="E32" s="8">
        <f>'Balance Sheet'!E7</f>
        <v>1487665</v>
      </c>
      <c r="F32" s="8">
        <f>'Balance Sheet'!F7</f>
        <v>1961100</v>
      </c>
    </row>
    <row r="33" spans="1:6" x14ac:dyDescent="0.25">
      <c r="A33" s="9" t="s">
        <v>93</v>
      </c>
      <c r="B33" s="6">
        <f>B30-B32</f>
        <v>92025</v>
      </c>
      <c r="C33" s="6">
        <f>C30-C32</f>
        <v>128607</v>
      </c>
      <c r="D33" s="6">
        <f>D30-D32</f>
        <v>94588</v>
      </c>
      <c r="E33" s="6">
        <f>E30-E32</f>
        <v>381273</v>
      </c>
      <c r="F33" s="6">
        <f>F30-F32</f>
        <v>-161319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8691-D7F7-4ECC-A142-EF13BE2BFD5E}">
  <dimension ref="A1:F4"/>
  <sheetViews>
    <sheetView workbookViewId="0">
      <selection activeCell="A3" sqref="A3:F4"/>
    </sheetView>
  </sheetViews>
  <sheetFormatPr defaultRowHeight="15" x14ac:dyDescent="0.25"/>
  <cols>
    <col min="1" max="1" width="32.7109375" bestFit="1" customWidth="1"/>
    <col min="2" max="6" width="11.5703125" bestFit="1" customWidth="1"/>
  </cols>
  <sheetData>
    <row r="1" spans="1:6" x14ac:dyDescent="0.25">
      <c r="A1" s="52" t="s">
        <v>162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t="s">
        <v>27</v>
      </c>
      <c r="B4" s="54">
        <v>189627</v>
      </c>
      <c r="C4" s="54">
        <v>253770</v>
      </c>
      <c r="D4" s="54">
        <v>326508</v>
      </c>
      <c r="E4" s="54">
        <v>370939</v>
      </c>
      <c r="F4" s="54">
        <v>494606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1C57-FD58-4FB7-A707-528B13D824EF}">
  <dimension ref="A3:AB20"/>
  <sheetViews>
    <sheetView topLeftCell="S8" workbookViewId="0">
      <selection activeCell="X18" sqref="X18"/>
    </sheetView>
  </sheetViews>
  <sheetFormatPr defaultRowHeight="15" x14ac:dyDescent="0.25"/>
  <cols>
    <col min="1" max="1" width="27.7109375" bestFit="1" customWidth="1"/>
    <col min="23" max="23" width="23.85546875" bestFit="1" customWidth="1"/>
    <col min="24" max="28" width="12.28515625" bestFit="1" customWidth="1"/>
  </cols>
  <sheetData>
    <row r="3" spans="1:3" x14ac:dyDescent="0.25">
      <c r="A3" s="40"/>
      <c r="B3" s="41"/>
      <c r="C3" s="42"/>
    </row>
    <row r="4" spans="1:3" x14ac:dyDescent="0.25">
      <c r="A4" s="43"/>
      <c r="B4" s="44"/>
      <c r="C4" s="45"/>
    </row>
    <row r="5" spans="1:3" x14ac:dyDescent="0.25">
      <c r="A5" s="43"/>
      <c r="B5" s="44"/>
      <c r="C5" s="45"/>
    </row>
    <row r="6" spans="1:3" x14ac:dyDescent="0.25">
      <c r="A6" s="43"/>
      <c r="B6" s="44"/>
      <c r="C6" s="45"/>
    </row>
    <row r="7" spans="1:3" x14ac:dyDescent="0.25">
      <c r="A7" s="43"/>
      <c r="B7" s="44"/>
      <c r="C7" s="45"/>
    </row>
    <row r="8" spans="1:3" x14ac:dyDescent="0.25">
      <c r="A8" s="43"/>
      <c r="B8" s="44"/>
      <c r="C8" s="45"/>
    </row>
    <row r="9" spans="1:3" x14ac:dyDescent="0.25">
      <c r="A9" s="43"/>
      <c r="B9" s="44"/>
      <c r="C9" s="45"/>
    </row>
    <row r="10" spans="1:3" x14ac:dyDescent="0.25">
      <c r="A10" s="43"/>
      <c r="B10" s="44"/>
      <c r="C10" s="45"/>
    </row>
    <row r="11" spans="1:3" x14ac:dyDescent="0.25">
      <c r="A11" s="43"/>
      <c r="B11" s="44"/>
      <c r="C11" s="45"/>
    </row>
    <row r="12" spans="1:3" x14ac:dyDescent="0.25">
      <c r="A12" s="43"/>
      <c r="B12" s="44"/>
      <c r="C12" s="45"/>
    </row>
    <row r="13" spans="1:3" x14ac:dyDescent="0.25">
      <c r="A13" s="43"/>
      <c r="B13" s="44"/>
      <c r="C13" s="45"/>
    </row>
    <row r="14" spans="1:3" x14ac:dyDescent="0.25">
      <c r="A14" s="43"/>
      <c r="B14" s="44"/>
      <c r="C14" s="45"/>
    </row>
    <row r="15" spans="1:3" x14ac:dyDescent="0.25">
      <c r="A15" s="43"/>
      <c r="B15" s="44"/>
      <c r="C15" s="45"/>
    </row>
    <row r="16" spans="1:3" x14ac:dyDescent="0.25">
      <c r="A16" s="43"/>
      <c r="B16" s="44"/>
      <c r="C16" s="45"/>
    </row>
    <row r="17" spans="1:28" x14ac:dyDescent="0.25">
      <c r="A17" s="43"/>
      <c r="B17" s="44"/>
      <c r="C17" s="45"/>
      <c r="W17" s="49" t="s">
        <v>148</v>
      </c>
      <c r="X17" t="s">
        <v>150</v>
      </c>
      <c r="Y17" t="s">
        <v>151</v>
      </c>
      <c r="Z17" t="s">
        <v>152</v>
      </c>
      <c r="AA17" t="s">
        <v>153</v>
      </c>
      <c r="AB17" t="s">
        <v>154</v>
      </c>
    </row>
    <row r="18" spans="1:28" x14ac:dyDescent="0.25">
      <c r="A18" s="43"/>
      <c r="B18" s="44"/>
      <c r="C18" s="45"/>
      <c r="W18" s="50" t="s">
        <v>27</v>
      </c>
      <c r="X18" s="54">
        <v>-189627</v>
      </c>
      <c r="Y18" s="54">
        <v>-253770</v>
      </c>
      <c r="Z18" s="54">
        <v>-326508</v>
      </c>
      <c r="AA18" s="54">
        <v>-370939</v>
      </c>
      <c r="AB18" s="54">
        <v>-494606</v>
      </c>
    </row>
    <row r="19" spans="1:28" x14ac:dyDescent="0.25">
      <c r="A19" s="43"/>
      <c r="B19" s="44"/>
      <c r="C19" s="45"/>
      <c r="W19" s="50" t="s">
        <v>149</v>
      </c>
      <c r="X19" s="54">
        <v>-189627</v>
      </c>
      <c r="Y19" s="54">
        <v>-253770</v>
      </c>
      <c r="Z19" s="54">
        <v>-326508</v>
      </c>
      <c r="AA19" s="54">
        <v>-370939</v>
      </c>
      <c r="AB19" s="54">
        <v>-494606</v>
      </c>
    </row>
    <row r="20" spans="1:28" x14ac:dyDescent="0.25">
      <c r="A20" s="46"/>
      <c r="B20" s="47"/>
      <c r="C20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opLeftCell="A21" workbookViewId="0">
      <selection activeCell="C15" sqref="C15"/>
    </sheetView>
  </sheetViews>
  <sheetFormatPr defaultRowHeight="15" x14ac:dyDescent="0.25"/>
  <cols>
    <col min="1" max="1" width="35" customWidth="1"/>
    <col min="2" max="2" width="16" customWidth="1"/>
    <col min="3" max="3" width="19.28515625" customWidth="1"/>
    <col min="4" max="6" width="16" customWidth="1"/>
  </cols>
  <sheetData>
    <row r="1" spans="1:6" ht="20.25" x14ac:dyDescent="0.3">
      <c r="A1" s="24" t="s">
        <v>0</v>
      </c>
    </row>
    <row r="2" spans="1:6" x14ac:dyDescent="0.25">
      <c r="A2" s="2" t="s">
        <v>94</v>
      </c>
    </row>
    <row r="4" spans="1:6" x14ac:dyDescent="0.25">
      <c r="A4" s="22" t="s">
        <v>95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</row>
    <row r="6" spans="1:6" x14ac:dyDescent="0.25">
      <c r="A6" s="29" t="s">
        <v>96</v>
      </c>
    </row>
    <row r="7" spans="1:6" x14ac:dyDescent="0.25">
      <c r="A7" s="5" t="s">
        <v>97</v>
      </c>
      <c r="B7" s="10">
        <f>'Income Statement'!B36/'Balance Sheet'!B23</f>
        <v>2.0047002951258913E-2</v>
      </c>
      <c r="C7" s="10">
        <f>'Income Statement'!C36/'Balance Sheet'!C23</f>
        <v>1.3644229411674988E-2</v>
      </c>
      <c r="D7" s="10">
        <f>'Income Statement'!D36/'Balance Sheet'!D23</f>
        <v>1.2213604843551315E-2</v>
      </c>
      <c r="E7" s="10">
        <f>'Income Statement'!E36/'Balance Sheet'!E23</f>
        <v>1.3638123397220892E-2</v>
      </c>
      <c r="F7" s="10">
        <f>'Income Statement'!F36/'Balance Sheet'!F23</f>
        <v>1.0403004640099266E-2</v>
      </c>
    </row>
    <row r="8" spans="1:6" x14ac:dyDescent="0.25">
      <c r="A8" s="5" t="s">
        <v>98</v>
      </c>
      <c r="B8" s="10">
        <f>'Income Statement'!B36/'Balance Sheet'!B45</f>
        <v>0.20247414946015591</v>
      </c>
      <c r="C8" s="10">
        <f>'Income Statement'!C36/'Balance Sheet'!C45</f>
        <v>0.15847991899662431</v>
      </c>
      <c r="D8" s="10">
        <f>'Income Statement'!D36/'Balance Sheet'!D45</f>
        <v>0.13980437331279566</v>
      </c>
      <c r="E8" s="10">
        <f>'Income Statement'!E36/'Balance Sheet'!E45</f>
        <v>0.1490481531301584</v>
      </c>
      <c r="F8" s="10">
        <f>'Income Statement'!F36/'Balance Sheet'!F45</f>
        <v>0.1269525980710593</v>
      </c>
    </row>
    <row r="9" spans="1:6" x14ac:dyDescent="0.25">
      <c r="A9" s="5" t="s">
        <v>99</v>
      </c>
      <c r="B9" s="10">
        <f>'Income Statement'!B9/'Balance Sheet'!B23</f>
        <v>3.503683875985359E-2</v>
      </c>
      <c r="C9" s="10">
        <f>'Income Statement'!C9/'Balance Sheet'!C23</f>
        <v>3.8791673423948778E-2</v>
      </c>
      <c r="D9" s="10">
        <f>'Income Statement'!D9/'Balance Sheet'!D23</f>
        <v>3.0294661814451503E-2</v>
      </c>
      <c r="E9" s="10">
        <f>'Income Statement'!E9/'Balance Sheet'!E23</f>
        <v>2.5691175715988265E-2</v>
      </c>
      <c r="F9" s="10">
        <f>'Income Statement'!F9/'Balance Sheet'!F23</f>
        <v>2.3967979821949974E-2</v>
      </c>
    </row>
    <row r="10" spans="1:6" x14ac:dyDescent="0.25">
      <c r="A10" s="5" t="s">
        <v>100</v>
      </c>
      <c r="B10" s="10">
        <f>-'Income Statement'!B31/'Income Statement'!B24</f>
        <v>0.6381524482584553</v>
      </c>
      <c r="C10" s="10">
        <f>-'Income Statement'!C31/'Income Statement'!C24</f>
        <v>0.68744599064334455</v>
      </c>
      <c r="D10" s="10">
        <f>-'Income Statement'!D31/'Income Statement'!D24</f>
        <v>0.72167468630575715</v>
      </c>
      <c r="E10" s="10">
        <f>-'Income Statement'!E31/'Income Statement'!E24</f>
        <v>0.67760574031923948</v>
      </c>
      <c r="F10" s="10">
        <f>-'Income Statement'!F31/'Income Statement'!F24</f>
        <v>0.74388923313861499</v>
      </c>
    </row>
    <row r="11" spans="1:6" x14ac:dyDescent="0.25">
      <c r="A11" s="5" t="s">
        <v>101</v>
      </c>
      <c r="B11" s="10">
        <f>-'Income Statement'!B34/'Income Statement'!B33</f>
        <v>7.6327855435581224E-2</v>
      </c>
      <c r="C11" s="10">
        <f>-'Income Statement'!C34/'Income Statement'!C33</f>
        <v>0.154872203780584</v>
      </c>
      <c r="D11" s="10">
        <f>-'Income Statement'!D34/'Income Statement'!D33</f>
        <v>0.15812838004177157</v>
      </c>
      <c r="E11" s="10">
        <f>-'Income Statement'!E34/'Income Statement'!E33</f>
        <v>9.3406313212871198E-2</v>
      </c>
      <c r="F11" s="10">
        <f>-'Income Statement'!F34/'Income Statement'!F33</f>
        <v>8.5321165568514143E-2</v>
      </c>
    </row>
    <row r="12" spans="1:6" x14ac:dyDescent="0.25">
      <c r="A12" s="11"/>
    </row>
    <row r="13" spans="1:6" x14ac:dyDescent="0.25">
      <c r="A13" s="29" t="s">
        <v>102</v>
      </c>
    </row>
    <row r="14" spans="1:6" x14ac:dyDescent="0.25">
      <c r="A14" s="5" t="s">
        <v>103</v>
      </c>
      <c r="B14" s="12">
        <f>-'Income Statement'!B11/'Balance Sheet'!B12</f>
        <v>7.3520043579323093E-3</v>
      </c>
      <c r="C14" s="12">
        <f>-'Income Statement'!C11/'Balance Sheet'!C12</f>
        <v>6.9340358156052724E-3</v>
      </c>
      <c r="D14" s="12">
        <f>-'Income Statement'!D11/'Balance Sheet'!D12</f>
        <v>1.9543476957105527E-2</v>
      </c>
      <c r="E14" s="12">
        <f>-'Income Statement'!E11/'Balance Sheet'!E12</f>
        <v>1.9996808738673186E-2</v>
      </c>
      <c r="F14" s="12">
        <f>-'Income Statement'!F11/'Balance Sheet'!F12</f>
        <v>3.8776217175047006E-2</v>
      </c>
    </row>
    <row r="15" spans="1:6" x14ac:dyDescent="0.25">
      <c r="A15" s="5" t="s">
        <v>104</v>
      </c>
      <c r="B15" s="10">
        <f>'Balance Sheet'!B12/'Balance Sheet'!B27</f>
        <v>0.77726218640200739</v>
      </c>
      <c r="C15" s="10">
        <f>'Balance Sheet'!C12/'Balance Sheet'!C27</f>
        <v>0.68413804382075727</v>
      </c>
      <c r="D15" s="10">
        <f>'Balance Sheet'!D12/'Balance Sheet'!D27</f>
        <v>0.575956014030094</v>
      </c>
      <c r="E15" s="10">
        <f>'Balance Sheet'!E12/'Balance Sheet'!E27</f>
        <v>0.59834184229169185</v>
      </c>
      <c r="F15" s="10">
        <f>'Balance Sheet'!F12/'Balance Sheet'!F27</f>
        <v>0.55136480112175257</v>
      </c>
    </row>
    <row r="16" spans="1:6" x14ac:dyDescent="0.25">
      <c r="A16" s="5" t="s">
        <v>105</v>
      </c>
      <c r="B16" s="12">
        <f>'Balance Sheet'!B12/'Balance Sheet'!B23</f>
        <v>0.40241074313954928</v>
      </c>
      <c r="C16" s="12">
        <f>'Balance Sheet'!C12/'Balance Sheet'!C23</f>
        <v>0.40740709127725017</v>
      </c>
      <c r="D16" s="12">
        <f>'Balance Sheet'!D12/'Balance Sheet'!D23</f>
        <v>0.37076046110560595</v>
      </c>
      <c r="E16" s="12">
        <f>'Balance Sheet'!E12/'Balance Sheet'!E23</f>
        <v>0.35470303954171023</v>
      </c>
      <c r="F16" s="12">
        <f>'Balance Sheet'!F12/'Balance Sheet'!F23</f>
        <v>0.34068272301887437</v>
      </c>
    </row>
    <row r="17" spans="1:6" x14ac:dyDescent="0.25">
      <c r="A17" s="11"/>
    </row>
    <row r="18" spans="1:6" x14ac:dyDescent="0.25">
      <c r="A18" s="29" t="s">
        <v>106</v>
      </c>
    </row>
    <row r="19" spans="1:6" x14ac:dyDescent="0.25">
      <c r="A19" s="5" t="s">
        <v>107</v>
      </c>
      <c r="B19" s="10">
        <f>'Balance Sheet'!B45/'Balance Sheet'!B23</f>
        <v>9.9010184780175522E-2</v>
      </c>
      <c r="C19" s="10">
        <f>'Balance Sheet'!C45/'Balance Sheet'!C23</f>
        <v>8.6094373962707638E-2</v>
      </c>
      <c r="D19" s="10">
        <f>'Balance Sheet'!D45/'Balance Sheet'!D23</f>
        <v>8.7362108596022447E-2</v>
      </c>
      <c r="E19" s="10">
        <f>'Balance Sheet'!E45/'Balance Sheet'!E23</f>
        <v>9.1501458493827889E-2</v>
      </c>
      <c r="F19" s="10">
        <f>'Balance Sheet'!F45/'Balance Sheet'!F23</f>
        <v>8.1944007433990315E-2</v>
      </c>
    </row>
    <row r="20" spans="1:6" x14ac:dyDescent="0.25">
      <c r="A20" s="5" t="s">
        <v>108</v>
      </c>
      <c r="B20" s="10">
        <f>'Balance Sheet'!B27/'Balance Sheet'!B23</f>
        <v>0.51772844502101967</v>
      </c>
      <c r="C20" s="10">
        <f>'Balance Sheet'!C27/'Balance Sheet'!C23</f>
        <v>0.5955042187128976</v>
      </c>
      <c r="D20" s="10">
        <f>'Balance Sheet'!D27/'Balance Sheet'!D23</f>
        <v>0.64373051426498951</v>
      </c>
      <c r="E20" s="10">
        <f>'Balance Sheet'!E27/'Balance Sheet'!E23</f>
        <v>0.59281002007677142</v>
      </c>
      <c r="F20" s="10">
        <f>'Balance Sheet'!F27/'Balance Sheet'!F23</f>
        <v>0.61788986588508155</v>
      </c>
    </row>
    <row r="21" spans="1:6" x14ac:dyDescent="0.25">
      <c r="A21" s="5" t="s">
        <v>109</v>
      </c>
      <c r="B21" s="10">
        <f>('Balance Sheet'!B32+'Balance Sheet'!B33)/'Balance Sheet'!B45</f>
        <v>1.3040822650618129</v>
      </c>
      <c r="C21" s="10">
        <f>('Balance Sheet'!C32+'Balance Sheet'!C33)/'Balance Sheet'!C45</f>
        <v>1.2101602027034715</v>
      </c>
      <c r="D21" s="10">
        <f>('Balance Sheet'!D32+'Balance Sheet'!D33)/'Balance Sheet'!D45</f>
        <v>1.2668324803074322</v>
      </c>
      <c r="E21" s="10">
        <f>('Balance Sheet'!E32+'Balance Sheet'!E33)/'Balance Sheet'!E45</f>
        <v>1.3374622260808651</v>
      </c>
      <c r="F21" s="10">
        <f>('Balance Sheet'!F32+'Balance Sheet'!F33)/'Balance Sheet'!F45</f>
        <v>1.3796474177412663</v>
      </c>
    </row>
    <row r="22" spans="1:6" x14ac:dyDescent="0.25">
      <c r="A22" s="11"/>
    </row>
    <row r="23" spans="1:6" x14ac:dyDescent="0.25">
      <c r="A23" s="29" t="s">
        <v>110</v>
      </c>
    </row>
    <row r="24" spans="1:6" x14ac:dyDescent="0.25">
      <c r="A24" s="5" t="s">
        <v>111</v>
      </c>
      <c r="B24" s="10">
        <f>('Balance Sheet'!C23-'Balance Sheet'!B23)/'Balance Sheet'!B23</f>
        <v>0.44254834879072263</v>
      </c>
      <c r="C24" s="10">
        <f>('Balance Sheet'!C23-'Balance Sheet'!C23)/'Balance Sheet'!C23</f>
        <v>0</v>
      </c>
      <c r="D24" s="10">
        <f>('Balance Sheet'!C23-'Balance Sheet'!D23)/'Balance Sheet'!D23</f>
        <v>-0.17663371985381601</v>
      </c>
      <c r="E24" s="10">
        <f>('Balance Sheet'!C23-'Balance Sheet'!E23)/'Balance Sheet'!E23</f>
        <v>-0.39084284765230309</v>
      </c>
      <c r="F24" s="10">
        <f>('Balance Sheet'!C23-'Balance Sheet'!F23)/'Balance Sheet'!F23</f>
        <v>-0.52267809861525028</v>
      </c>
    </row>
    <row r="25" spans="1:6" x14ac:dyDescent="0.25">
      <c r="A25" s="5" t="s">
        <v>112</v>
      </c>
      <c r="B25" s="10">
        <f>('Balance Sheet'!C12-'Balance Sheet'!B12)/'Balance Sheet'!B12</f>
        <v>0.46045908770338773</v>
      </c>
      <c r="C25" s="10">
        <f>('Balance Sheet'!C12-'Balance Sheet'!C12)/'Balance Sheet'!C12</f>
        <v>0</v>
      </c>
      <c r="D25" s="10">
        <f>('Balance Sheet'!C12-'Balance Sheet'!D12)/'Balance Sheet'!D12</f>
        <v>-9.5250717269500365E-2</v>
      </c>
      <c r="E25" s="10">
        <f>('Balance Sheet'!C12-'Balance Sheet'!E12)/'Balance Sheet'!E12</f>
        <v>-0.30033037244518862</v>
      </c>
      <c r="F25" s="10">
        <f>('Balance Sheet'!C12-'Balance Sheet'!F12)/'Balance Sheet'!F12</f>
        <v>-0.42919228271134352</v>
      </c>
    </row>
    <row r="26" spans="1:6" x14ac:dyDescent="0.25">
      <c r="A26" s="5" t="s">
        <v>113</v>
      </c>
      <c r="B26" s="10">
        <f>('Balance Sheet'!C27-'Balance Sheet'!B27)/'Balance Sheet'!B27</f>
        <v>0.65925522474880194</v>
      </c>
      <c r="C26" s="10">
        <f>('Balance Sheet'!C27-'Balance Sheet'!C27)/'Balance Sheet'!C27</f>
        <v>0</v>
      </c>
      <c r="D26" s="10">
        <f>('Balance Sheet'!C27-'Balance Sheet'!D27)/'Balance Sheet'!D27</f>
        <v>-0.23831777039054533</v>
      </c>
      <c r="E26" s="10">
        <f>('Balance Sheet'!C27-'Balance Sheet'!E27)/'Balance Sheet'!E27</f>
        <v>-0.38807435468919643</v>
      </c>
      <c r="F26" s="10">
        <f>('Balance Sheet'!C27-'Balance Sheet'!F27)/'Balance Sheet'!F27</f>
        <v>-0.53997108278913586</v>
      </c>
    </row>
    <row r="27" spans="1:6" x14ac:dyDescent="0.25">
      <c r="A27" s="5" t="s">
        <v>114</v>
      </c>
      <c r="B27" s="10">
        <f>('Income Statement'!C36-'Income Statement'!B36)/'Income Statement'!B36</f>
        <v>-1.8184381167183534E-2</v>
      </c>
      <c r="C27" s="10">
        <f>('Income Statement'!C36-'Income Statement'!C36)/'Income Statement'!C36</f>
        <v>0</v>
      </c>
      <c r="D27" s="10">
        <f>('Income Statement'!C36-'Income Statement'!D36)/'Income Statement'!D36</f>
        <v>-8.0189791625397369E-2</v>
      </c>
      <c r="E27" s="10">
        <f>('Income Statement'!C36-'Income Statement'!E36)/'Income Statement'!E36</f>
        <v>-0.39057011787352658</v>
      </c>
      <c r="F27" s="10">
        <f>('Income Statement'!C36-'Income Statement'!F36)/'Income Statement'!F36</f>
        <v>-0.37396072086647791</v>
      </c>
    </row>
    <row r="28" spans="1:6" x14ac:dyDescent="0.25">
      <c r="A28" s="5" t="s">
        <v>115</v>
      </c>
      <c r="B28" s="10">
        <f>('Income Statement'!C9-'Income Statement'!B9)/'Income Statement'!B9</f>
        <v>0.5971436472364009</v>
      </c>
      <c r="C28" s="10">
        <f>('Income Statement'!C9-'Income Statement'!C9)/'Income Statement'!C9</f>
        <v>0</v>
      </c>
      <c r="D28" s="10">
        <f>('Income Statement'!C9-'Income Statement'!D9)/'Income Statement'!D9</f>
        <v>5.4303099448564367E-2</v>
      </c>
      <c r="E28" s="10">
        <f>('Income Statement'!C9-'Income Statement'!E9)/'Income Statement'!E9</f>
        <v>-8.0220166684361396E-2</v>
      </c>
      <c r="F28" s="10">
        <f>('Income Statement'!C9-'Income Statement'!F9)/'Income Statement'!F9</f>
        <v>-0.22746449829458057</v>
      </c>
    </row>
    <row r="29" spans="1:6" x14ac:dyDescent="0.25">
      <c r="A29" s="11"/>
    </row>
    <row r="30" spans="1:6" x14ac:dyDescent="0.25">
      <c r="A30" s="29" t="s">
        <v>116</v>
      </c>
    </row>
    <row r="31" spans="1:6" x14ac:dyDescent="0.25">
      <c r="A31" s="3" t="s">
        <v>117</v>
      </c>
      <c r="B31" s="13">
        <v>32354</v>
      </c>
      <c r="C31" s="13">
        <v>35545</v>
      </c>
      <c r="D31" s="13">
        <v>35545</v>
      </c>
      <c r="E31" s="13">
        <v>35545</v>
      </c>
      <c r="F31" s="13">
        <v>35545</v>
      </c>
    </row>
    <row r="32" spans="1:6" x14ac:dyDescent="0.25">
      <c r="A32" s="5" t="s">
        <v>118</v>
      </c>
      <c r="B32" s="14">
        <f>'Income Statement'!B36/B31*1000</f>
        <v>3069.6668109043703</v>
      </c>
      <c r="C32" s="14">
        <f>'Income Statement'!C36/C31*1000</f>
        <v>2743.2831621887749</v>
      </c>
      <c r="D32" s="14">
        <f>'Income Statement'!D36/D31*1000</f>
        <v>2982.4447882965255</v>
      </c>
      <c r="E32" s="14">
        <f>'Income Statement'!E36/E31*1000</f>
        <v>4501.3926009284005</v>
      </c>
      <c r="F32" s="14">
        <f>'Income Statement'!F36/F31*1000</f>
        <v>4381.9665213110138</v>
      </c>
    </row>
    <row r="33" spans="1:6" x14ac:dyDescent="0.25">
      <c r="A33" s="5" t="s">
        <v>119</v>
      </c>
      <c r="B33" s="14">
        <f>'Balance Sheet'!B45/B31*1000</f>
        <v>15160.783828892872</v>
      </c>
      <c r="C33" s="14">
        <f>'Balance Sheet'!C45/C31*1000</f>
        <v>17309.973273315518</v>
      </c>
      <c r="D33" s="14">
        <f>'Balance Sheet'!D45/D31*1000</f>
        <v>21332.986355324239</v>
      </c>
      <c r="E33" s="14">
        <f>'Balance Sheet'!E45/E31*1000</f>
        <v>30200.928400618934</v>
      </c>
      <c r="F33" s="14">
        <f>'Balance Sheet'!F45/F31*1000</f>
        <v>34516.556477704318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78D0-3A04-48E9-9130-FFEAA0842B87}">
  <dimension ref="J3"/>
  <sheetViews>
    <sheetView showGridLines="0" tabSelected="1" workbookViewId="0">
      <selection activeCell="J4" sqref="J4"/>
    </sheetView>
  </sheetViews>
  <sheetFormatPr defaultRowHeight="15" x14ac:dyDescent="0.25"/>
  <cols>
    <col min="1" max="1" width="9.140625" style="39"/>
    <col min="2" max="2" width="9.140625" style="39" customWidth="1"/>
    <col min="3" max="16384" width="9.140625" style="39"/>
  </cols>
  <sheetData>
    <row r="3" spans="10:10" x14ac:dyDescent="0.25">
      <c r="J3" s="39" t="e" cm="1">
        <f t="array" ref="J3">INDEX('Cash Flow'!B4:F4,1,MATCH(MAX('Cash Flow'!B7:F7),'Cash Flow'!B7:F7,O))</f>
        <v>#NAME?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9A71-A305-4C14-8F9B-59556DE090F0}">
  <dimension ref="P8:R14"/>
  <sheetViews>
    <sheetView topLeftCell="H1" workbookViewId="0">
      <selection activeCell="S14" sqref="S14"/>
    </sheetView>
  </sheetViews>
  <sheetFormatPr defaultRowHeight="15" x14ac:dyDescent="0.25"/>
  <cols>
    <col min="16" max="16" width="7" bestFit="1" customWidth="1"/>
    <col min="17" max="17" width="16.28515625" bestFit="1" customWidth="1"/>
    <col min="18" max="18" width="12" bestFit="1" customWidth="1"/>
    <col min="19" max="19" width="26.85546875" bestFit="1" customWidth="1"/>
    <col min="20" max="20" width="15.28515625" bestFit="1" customWidth="1"/>
    <col min="21" max="21" width="20" bestFit="1" customWidth="1"/>
    <col min="22" max="22" width="13.7109375" bestFit="1" customWidth="1"/>
    <col min="23" max="23" width="15.140625" bestFit="1" customWidth="1"/>
    <col min="24" max="24" width="17.42578125" bestFit="1" customWidth="1"/>
    <col min="25" max="25" width="24.140625" bestFit="1" customWidth="1"/>
    <col min="26" max="26" width="15.140625" bestFit="1" customWidth="1"/>
    <col min="27" max="27" width="23.140625" bestFit="1" customWidth="1"/>
    <col min="28" max="28" width="26.28515625" bestFit="1" customWidth="1"/>
    <col min="29" max="29" width="12.7109375" bestFit="1" customWidth="1"/>
    <col min="30" max="30" width="21.85546875" bestFit="1" customWidth="1"/>
    <col min="31" max="31" width="19.5703125" bestFit="1" customWidth="1"/>
    <col min="32" max="32" width="24.5703125" bestFit="1" customWidth="1"/>
    <col min="33" max="33" width="12.7109375" bestFit="1" customWidth="1"/>
    <col min="34" max="34" width="18.85546875" bestFit="1" customWidth="1"/>
    <col min="35" max="35" width="13.28515625" bestFit="1" customWidth="1"/>
    <col min="36" max="36" width="21" bestFit="1" customWidth="1"/>
    <col min="37" max="37" width="22" bestFit="1" customWidth="1"/>
    <col min="38" max="38" width="21.5703125" bestFit="1" customWidth="1"/>
    <col min="39" max="39" width="27.7109375" bestFit="1" customWidth="1"/>
    <col min="40" max="40" width="12" bestFit="1" customWidth="1"/>
    <col min="41" max="41" width="7.28515625" bestFit="1" customWidth="1"/>
    <col min="42" max="42" width="12" bestFit="1" customWidth="1"/>
  </cols>
  <sheetData>
    <row r="8" spans="16:18" x14ac:dyDescent="0.25">
      <c r="Q8" s="49" t="s">
        <v>155</v>
      </c>
    </row>
    <row r="9" spans="16:18" x14ac:dyDescent="0.25">
      <c r="P9" s="49" t="s">
        <v>156</v>
      </c>
      <c r="Q9" s="53" t="s">
        <v>109</v>
      </c>
      <c r="R9" t="s">
        <v>149</v>
      </c>
    </row>
    <row r="10" spans="16:18" x14ac:dyDescent="0.25">
      <c r="P10" s="50" t="s">
        <v>157</v>
      </c>
      <c r="Q10" s="53">
        <v>1.3040822650618129</v>
      </c>
      <c r="R10" s="51">
        <v>1.3040822650618129</v>
      </c>
    </row>
    <row r="11" spans="16:18" x14ac:dyDescent="0.25">
      <c r="P11" s="50" t="s">
        <v>158</v>
      </c>
      <c r="Q11" s="53">
        <v>1.2101602027034715</v>
      </c>
      <c r="R11" s="51">
        <v>1.2101602027034715</v>
      </c>
    </row>
    <row r="12" spans="16:18" x14ac:dyDescent="0.25">
      <c r="P12" s="50" t="s">
        <v>159</v>
      </c>
      <c r="Q12" s="53">
        <v>1.2668324803074322</v>
      </c>
      <c r="R12" s="51">
        <v>1.2668324803074322</v>
      </c>
    </row>
    <row r="13" spans="16:18" x14ac:dyDescent="0.25">
      <c r="P13" s="50" t="s">
        <v>160</v>
      </c>
      <c r="Q13" s="53">
        <v>1.3374622260808651</v>
      </c>
      <c r="R13" s="51">
        <v>1.3374622260808651</v>
      </c>
    </row>
    <row r="14" spans="16:18" x14ac:dyDescent="0.25">
      <c r="P14" s="50" t="s">
        <v>161</v>
      </c>
      <c r="Q14" s="53">
        <v>1.3796474177412663</v>
      </c>
      <c r="R14" s="51">
        <v>1.3796474177412663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8"/>
  <sheetViews>
    <sheetView topLeftCell="D1" workbookViewId="0"/>
  </sheetViews>
  <sheetFormatPr defaultRowHeight="15" x14ac:dyDescent="0.25"/>
  <cols>
    <col min="1" max="1" width="90" customWidth="1"/>
  </cols>
  <sheetData>
    <row r="1" spans="1:1" ht="20.25" x14ac:dyDescent="0.3">
      <c r="A1" s="1" t="s">
        <v>0</v>
      </c>
    </row>
    <row r="2" spans="1:1" ht="15.75" x14ac:dyDescent="0.25">
      <c r="A2" s="15" t="s">
        <v>120</v>
      </c>
    </row>
    <row r="4" spans="1:1" x14ac:dyDescent="0.25">
      <c r="A4" s="16"/>
    </row>
    <row r="5" spans="1:1" x14ac:dyDescent="0.25">
      <c r="A5" s="17" t="s">
        <v>121</v>
      </c>
    </row>
    <row r="6" spans="1:1" x14ac:dyDescent="0.25">
      <c r="A6" s="16" t="s">
        <v>122</v>
      </c>
    </row>
    <row r="7" spans="1:1" x14ac:dyDescent="0.25">
      <c r="A7" s="16" t="s">
        <v>123</v>
      </c>
    </row>
    <row r="8" spans="1:1" x14ac:dyDescent="0.25">
      <c r="A8" s="16"/>
    </row>
    <row r="9" spans="1:1" x14ac:dyDescent="0.25">
      <c r="A9" s="17" t="s">
        <v>124</v>
      </c>
    </row>
    <row r="10" spans="1:1" x14ac:dyDescent="0.25">
      <c r="A10" s="16" t="s">
        <v>125</v>
      </c>
    </row>
    <row r="11" spans="1:1" x14ac:dyDescent="0.25">
      <c r="A11" s="16"/>
    </row>
    <row r="12" spans="1:1" x14ac:dyDescent="0.25">
      <c r="A12" s="17" t="s">
        <v>126</v>
      </c>
    </row>
    <row r="13" spans="1:1" x14ac:dyDescent="0.25">
      <c r="A13" s="16" t="s">
        <v>127</v>
      </c>
    </row>
    <row r="14" spans="1:1" x14ac:dyDescent="0.25">
      <c r="A14" s="16" t="s">
        <v>128</v>
      </c>
    </row>
    <row r="15" spans="1:1" x14ac:dyDescent="0.25">
      <c r="A15" s="16" t="s">
        <v>129</v>
      </c>
    </row>
    <row r="16" spans="1:1" x14ac:dyDescent="0.25">
      <c r="A16" s="16"/>
    </row>
    <row r="17" spans="1:1" x14ac:dyDescent="0.25">
      <c r="A17" s="17" t="s">
        <v>130</v>
      </c>
    </row>
    <row r="18" spans="1:1" x14ac:dyDescent="0.25">
      <c r="A18" s="16" t="s">
        <v>131</v>
      </c>
    </row>
    <row r="19" spans="1:1" x14ac:dyDescent="0.25">
      <c r="A19" s="16"/>
    </row>
    <row r="20" spans="1:1" x14ac:dyDescent="0.25">
      <c r="A20" s="17" t="s">
        <v>132</v>
      </c>
    </row>
    <row r="21" spans="1:1" x14ac:dyDescent="0.25">
      <c r="A21" s="16" t="s">
        <v>133</v>
      </c>
    </row>
    <row r="22" spans="1:1" x14ac:dyDescent="0.25">
      <c r="A22" s="16" t="s">
        <v>134</v>
      </c>
    </row>
    <row r="23" spans="1:1" x14ac:dyDescent="0.25">
      <c r="A23" s="16" t="s">
        <v>135</v>
      </c>
    </row>
    <row r="24" spans="1:1" x14ac:dyDescent="0.25">
      <c r="A24" s="16" t="s">
        <v>136</v>
      </c>
    </row>
    <row r="25" spans="1:1" x14ac:dyDescent="0.25">
      <c r="A25" s="16"/>
    </row>
    <row r="26" spans="1:1" x14ac:dyDescent="0.25">
      <c r="A26" s="17" t="s">
        <v>137</v>
      </c>
    </row>
    <row r="27" spans="1:1" x14ac:dyDescent="0.25">
      <c r="A27" s="16" t="s">
        <v>138</v>
      </c>
    </row>
    <row r="28" spans="1:1" x14ac:dyDescent="0.25">
      <c r="A28" s="16" t="s">
        <v>139</v>
      </c>
    </row>
    <row r="29" spans="1:1" x14ac:dyDescent="0.25">
      <c r="A29" s="16" t="s">
        <v>140</v>
      </c>
    </row>
    <row r="30" spans="1:1" x14ac:dyDescent="0.25">
      <c r="A30" s="16" t="s">
        <v>141</v>
      </c>
    </row>
    <row r="31" spans="1:1" x14ac:dyDescent="0.25">
      <c r="A31" s="16" t="s">
        <v>142</v>
      </c>
    </row>
    <row r="32" spans="1:1" x14ac:dyDescent="0.25">
      <c r="A32" s="16"/>
    </row>
    <row r="33" spans="1:1" x14ac:dyDescent="0.25">
      <c r="A33" s="17" t="s">
        <v>143</v>
      </c>
    </row>
    <row r="34" spans="1:1" x14ac:dyDescent="0.25">
      <c r="A34" s="16" t="s">
        <v>144</v>
      </c>
    </row>
    <row r="35" spans="1:1" x14ac:dyDescent="0.25">
      <c r="A35" s="16" t="s">
        <v>145</v>
      </c>
    </row>
    <row r="36" spans="1:1" x14ac:dyDescent="0.25">
      <c r="A36" s="16" t="s">
        <v>146</v>
      </c>
    </row>
    <row r="37" spans="1:1" x14ac:dyDescent="0.25">
      <c r="A37" s="16"/>
    </row>
    <row r="38" spans="1:1" x14ac:dyDescent="0.25">
      <c r="A38" s="16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 Flow</vt:lpstr>
      <vt:lpstr>Detail1</vt:lpstr>
      <vt:lpstr>Sheet3</vt:lpstr>
      <vt:lpstr>Financial Ratios</vt:lpstr>
      <vt:lpstr>Dashboard</vt:lpstr>
      <vt:lpstr>Sheet2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MONYE</cp:lastModifiedBy>
  <dcterms:created xsi:type="dcterms:W3CDTF">2026-02-14T11:48:32Z</dcterms:created>
  <dcterms:modified xsi:type="dcterms:W3CDTF">2026-02-14T14:34:30Z</dcterms:modified>
</cp:coreProperties>
</file>